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matts\Downloads\"/>
    </mc:Choice>
  </mc:AlternateContent>
  <xr:revisionPtr revIDLastSave="0" documentId="8_{ADE7CE73-112D-448E-9D23-3F75C9F86F31}" xr6:coauthVersionLast="47" xr6:coauthVersionMax="47" xr10:uidLastSave="{00000000-0000-0000-0000-000000000000}"/>
  <bookViews>
    <workbookView xWindow="-108" yWindow="-108" windowWidth="23256" windowHeight="12456" activeTab="3" xr2:uid="{BEDFD471-F4B9-4070-A517-86C78B5CF809}"/>
  </bookViews>
  <sheets>
    <sheet name="Data" sheetId="1" r:id="rId1"/>
    <sheet name="Population" sheetId="3" r:id="rId2"/>
    <sheet name="Confirmed Cases" sheetId="4" r:id="rId3"/>
    <sheet name="Answers" sheetId="5" r:id="rId4"/>
  </sheets>
  <definedNames>
    <definedName name="_xlnm._FilterDatabase" localSheetId="0" hidden="1">Data!$A$1:$J$176</definedName>
    <definedName name="ExternalData_1" localSheetId="1" hidden="1">Population!$A$1:$D$84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3" i="1" l="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2" i="1"/>
  <c r="H3" i="1"/>
  <c r="H6" i="1"/>
  <c r="H8" i="1"/>
  <c r="H9" i="1"/>
  <c r="H10" i="1"/>
  <c r="H11" i="1"/>
  <c r="H14" i="1"/>
  <c r="H16" i="1"/>
  <c r="H17" i="1"/>
  <c r="H18" i="1"/>
  <c r="H19" i="1"/>
  <c r="H22" i="1"/>
  <c r="H24" i="1"/>
  <c r="H25" i="1"/>
  <c r="H26" i="1"/>
  <c r="H27" i="1"/>
  <c r="H30" i="1"/>
  <c r="H32" i="1"/>
  <c r="H33" i="1"/>
  <c r="H34" i="1"/>
  <c r="H35" i="1"/>
  <c r="H38" i="1"/>
  <c r="H40" i="1"/>
  <c r="H41" i="1"/>
  <c r="H42" i="1"/>
  <c r="H43" i="1"/>
  <c r="H46" i="1"/>
  <c r="H48" i="1"/>
  <c r="H49" i="1"/>
  <c r="H50" i="1"/>
  <c r="H51" i="1"/>
  <c r="H54" i="1"/>
  <c r="H56" i="1"/>
  <c r="H57" i="1"/>
  <c r="H58" i="1"/>
  <c r="H59" i="1"/>
  <c r="H62" i="1"/>
  <c r="H64" i="1"/>
  <c r="H65" i="1"/>
  <c r="H66" i="1"/>
  <c r="H67" i="1"/>
  <c r="H70" i="1"/>
  <c r="H72" i="1"/>
  <c r="H73" i="1"/>
  <c r="H74" i="1"/>
  <c r="H75" i="1"/>
  <c r="H78" i="1"/>
  <c r="H80" i="1"/>
  <c r="H81" i="1"/>
  <c r="H82" i="1"/>
  <c r="H83" i="1"/>
  <c r="H86" i="1"/>
  <c r="H88" i="1"/>
  <c r="H89" i="1"/>
  <c r="H90" i="1"/>
  <c r="H91" i="1"/>
  <c r="H94" i="1"/>
  <c r="H96" i="1"/>
  <c r="H97" i="1"/>
  <c r="H98" i="1"/>
  <c r="H99" i="1"/>
  <c r="H102" i="1"/>
  <c r="H104" i="1"/>
  <c r="H105" i="1"/>
  <c r="H106" i="1"/>
  <c r="H107" i="1"/>
  <c r="H110" i="1"/>
  <c r="H112" i="1"/>
  <c r="H113" i="1"/>
  <c r="H114" i="1"/>
  <c r="H115" i="1"/>
  <c r="H118" i="1"/>
  <c r="H120" i="1"/>
  <c r="H121" i="1"/>
  <c r="H122" i="1"/>
  <c r="H123" i="1"/>
  <c r="H126" i="1"/>
  <c r="H128" i="1"/>
  <c r="H129" i="1"/>
  <c r="H130" i="1"/>
  <c r="H131" i="1"/>
  <c r="H134" i="1"/>
  <c r="H136" i="1"/>
  <c r="H137" i="1"/>
  <c r="H138" i="1"/>
  <c r="H139" i="1"/>
  <c r="H142" i="1"/>
  <c r="H144" i="1"/>
  <c r="H145" i="1"/>
  <c r="H146" i="1"/>
  <c r="H147" i="1"/>
  <c r="H150" i="1"/>
  <c r="H152" i="1"/>
  <c r="H153" i="1"/>
  <c r="H154" i="1"/>
  <c r="H155" i="1"/>
  <c r="H158" i="1"/>
  <c r="H160" i="1"/>
  <c r="H161" i="1"/>
  <c r="H162" i="1"/>
  <c r="H163" i="1"/>
  <c r="H166" i="1"/>
  <c r="H168" i="1"/>
  <c r="H169" i="1"/>
  <c r="H170" i="1"/>
  <c r="H171" i="1"/>
  <c r="H174" i="1"/>
  <c r="H176" i="1"/>
  <c r="H2" i="1"/>
  <c r="G3" i="1"/>
  <c r="G4" i="1"/>
  <c r="H4" i="1" s="1"/>
  <c r="G5" i="1"/>
  <c r="H5" i="1" s="1"/>
  <c r="G6" i="1"/>
  <c r="G7" i="1"/>
  <c r="H7" i="1" s="1"/>
  <c r="G8" i="1"/>
  <c r="G9" i="1"/>
  <c r="G10" i="1"/>
  <c r="G11" i="1"/>
  <c r="G12" i="1"/>
  <c r="H12" i="1" s="1"/>
  <c r="G13" i="1"/>
  <c r="H13" i="1" s="1"/>
  <c r="G14" i="1"/>
  <c r="G15" i="1"/>
  <c r="H15" i="1" s="1"/>
  <c r="G16" i="1"/>
  <c r="G17" i="1"/>
  <c r="G18" i="1"/>
  <c r="G19" i="1"/>
  <c r="G20" i="1"/>
  <c r="H20" i="1" s="1"/>
  <c r="G21" i="1"/>
  <c r="H21" i="1" s="1"/>
  <c r="G22" i="1"/>
  <c r="G23" i="1"/>
  <c r="H23" i="1" s="1"/>
  <c r="G24" i="1"/>
  <c r="G25" i="1"/>
  <c r="G26" i="1"/>
  <c r="G27" i="1"/>
  <c r="G28" i="1"/>
  <c r="H28" i="1" s="1"/>
  <c r="G29" i="1"/>
  <c r="H29" i="1" s="1"/>
  <c r="G30" i="1"/>
  <c r="G31" i="1"/>
  <c r="H31" i="1" s="1"/>
  <c r="G32" i="1"/>
  <c r="G33" i="1"/>
  <c r="G34" i="1"/>
  <c r="G35" i="1"/>
  <c r="G36" i="1"/>
  <c r="H36" i="1" s="1"/>
  <c r="G37" i="1"/>
  <c r="H37" i="1" s="1"/>
  <c r="G38" i="1"/>
  <c r="G39" i="1"/>
  <c r="H39" i="1" s="1"/>
  <c r="G40" i="1"/>
  <c r="G41" i="1"/>
  <c r="G42" i="1"/>
  <c r="G43" i="1"/>
  <c r="G44" i="1"/>
  <c r="H44" i="1" s="1"/>
  <c r="G45" i="1"/>
  <c r="H45" i="1" s="1"/>
  <c r="G46" i="1"/>
  <c r="G47" i="1"/>
  <c r="H47" i="1" s="1"/>
  <c r="G48" i="1"/>
  <c r="G49" i="1"/>
  <c r="G50" i="1"/>
  <c r="G51" i="1"/>
  <c r="G52" i="1"/>
  <c r="H52" i="1" s="1"/>
  <c r="G53" i="1"/>
  <c r="H53" i="1" s="1"/>
  <c r="G54" i="1"/>
  <c r="G55" i="1"/>
  <c r="H55" i="1" s="1"/>
  <c r="G56" i="1"/>
  <c r="G57" i="1"/>
  <c r="G58" i="1"/>
  <c r="G59" i="1"/>
  <c r="G60" i="1"/>
  <c r="H60" i="1" s="1"/>
  <c r="G61" i="1"/>
  <c r="H61" i="1" s="1"/>
  <c r="G62" i="1"/>
  <c r="G63" i="1"/>
  <c r="H63" i="1" s="1"/>
  <c r="G64" i="1"/>
  <c r="G65" i="1"/>
  <c r="G66" i="1"/>
  <c r="G67" i="1"/>
  <c r="G68" i="1"/>
  <c r="H68" i="1" s="1"/>
  <c r="G69" i="1"/>
  <c r="H69" i="1" s="1"/>
  <c r="G70" i="1"/>
  <c r="G71" i="1"/>
  <c r="H71" i="1" s="1"/>
  <c r="G72" i="1"/>
  <c r="G73" i="1"/>
  <c r="G74" i="1"/>
  <c r="G75" i="1"/>
  <c r="G76" i="1"/>
  <c r="H76" i="1" s="1"/>
  <c r="G77" i="1"/>
  <c r="H77" i="1" s="1"/>
  <c r="G78" i="1"/>
  <c r="G79" i="1"/>
  <c r="H79" i="1" s="1"/>
  <c r="G80" i="1"/>
  <c r="G81" i="1"/>
  <c r="G82" i="1"/>
  <c r="G83" i="1"/>
  <c r="G84" i="1"/>
  <c r="H84" i="1" s="1"/>
  <c r="G85" i="1"/>
  <c r="H85" i="1" s="1"/>
  <c r="G86" i="1"/>
  <c r="G87" i="1"/>
  <c r="H87" i="1" s="1"/>
  <c r="G88" i="1"/>
  <c r="G89" i="1"/>
  <c r="G90" i="1"/>
  <c r="G91" i="1"/>
  <c r="G92" i="1"/>
  <c r="H92" i="1" s="1"/>
  <c r="G93" i="1"/>
  <c r="H93" i="1" s="1"/>
  <c r="G94" i="1"/>
  <c r="G95" i="1"/>
  <c r="H95" i="1" s="1"/>
  <c r="G96" i="1"/>
  <c r="G97" i="1"/>
  <c r="G98" i="1"/>
  <c r="G99" i="1"/>
  <c r="G100" i="1"/>
  <c r="H100" i="1" s="1"/>
  <c r="G101" i="1"/>
  <c r="H101" i="1" s="1"/>
  <c r="G102" i="1"/>
  <c r="G103" i="1"/>
  <c r="H103" i="1" s="1"/>
  <c r="G104" i="1"/>
  <c r="G105" i="1"/>
  <c r="G106" i="1"/>
  <c r="G107" i="1"/>
  <c r="G108" i="1"/>
  <c r="H108" i="1" s="1"/>
  <c r="G109" i="1"/>
  <c r="H109" i="1" s="1"/>
  <c r="G110" i="1"/>
  <c r="G111" i="1"/>
  <c r="H111" i="1" s="1"/>
  <c r="G112" i="1"/>
  <c r="G113" i="1"/>
  <c r="G114" i="1"/>
  <c r="G115" i="1"/>
  <c r="G116" i="1"/>
  <c r="H116" i="1" s="1"/>
  <c r="G117" i="1"/>
  <c r="H117" i="1" s="1"/>
  <c r="G118" i="1"/>
  <c r="G119" i="1"/>
  <c r="H119" i="1" s="1"/>
  <c r="G120" i="1"/>
  <c r="G121" i="1"/>
  <c r="G122" i="1"/>
  <c r="G123" i="1"/>
  <c r="G124" i="1"/>
  <c r="H124" i="1" s="1"/>
  <c r="G125" i="1"/>
  <c r="H125" i="1" s="1"/>
  <c r="G126" i="1"/>
  <c r="G127" i="1"/>
  <c r="H127" i="1" s="1"/>
  <c r="G128" i="1"/>
  <c r="G129" i="1"/>
  <c r="G130" i="1"/>
  <c r="G131" i="1"/>
  <c r="G132" i="1"/>
  <c r="H132" i="1" s="1"/>
  <c r="G133" i="1"/>
  <c r="H133" i="1" s="1"/>
  <c r="G134" i="1"/>
  <c r="G135" i="1"/>
  <c r="H135" i="1" s="1"/>
  <c r="G136" i="1"/>
  <c r="G137" i="1"/>
  <c r="G138" i="1"/>
  <c r="G139" i="1"/>
  <c r="G140" i="1"/>
  <c r="H140" i="1" s="1"/>
  <c r="G141" i="1"/>
  <c r="H141" i="1" s="1"/>
  <c r="G142" i="1"/>
  <c r="G143" i="1"/>
  <c r="H143" i="1" s="1"/>
  <c r="G144" i="1"/>
  <c r="G145" i="1"/>
  <c r="G146" i="1"/>
  <c r="G147" i="1"/>
  <c r="G148" i="1"/>
  <c r="H148" i="1" s="1"/>
  <c r="G149" i="1"/>
  <c r="H149" i="1" s="1"/>
  <c r="G150" i="1"/>
  <c r="G151" i="1"/>
  <c r="H151" i="1" s="1"/>
  <c r="G152" i="1"/>
  <c r="G153" i="1"/>
  <c r="G154" i="1"/>
  <c r="G155" i="1"/>
  <c r="G156" i="1"/>
  <c r="H156" i="1" s="1"/>
  <c r="G157" i="1"/>
  <c r="H157" i="1" s="1"/>
  <c r="G158" i="1"/>
  <c r="G159" i="1"/>
  <c r="H159" i="1" s="1"/>
  <c r="G160" i="1"/>
  <c r="G161" i="1"/>
  <c r="G162" i="1"/>
  <c r="G163" i="1"/>
  <c r="G164" i="1"/>
  <c r="H164" i="1" s="1"/>
  <c r="G165" i="1"/>
  <c r="H165" i="1" s="1"/>
  <c r="G166" i="1"/>
  <c r="G167" i="1"/>
  <c r="H167" i="1" s="1"/>
  <c r="G168" i="1"/>
  <c r="G169" i="1"/>
  <c r="G170" i="1"/>
  <c r="G171" i="1"/>
  <c r="G172" i="1"/>
  <c r="H172" i="1" s="1"/>
  <c r="G173" i="1"/>
  <c r="H173" i="1" s="1"/>
  <c r="G174" i="1"/>
  <c r="G175" i="1"/>
  <c r="H175" i="1" s="1"/>
  <c r="G176" i="1"/>
  <c r="G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EDD0CD1-2E62-4FA5-B9A1-383AD5A91FFC}" keepAlive="1" name="Query - Table 0" description="Connection to the 'Table 0' query in the workbook." type="5" refreshedVersion="7" background="1" saveData="1">
    <dbPr connection="Provider=Microsoft.Mashup.OleDb.1;Data Source=$Workbook$;Location=&quot;Table 0&quot;;Extended Properties=&quot;&quot;" command="SELECT * FROM [Table 0]"/>
  </connection>
</connections>
</file>

<file path=xl/sharedStrings.xml><?xml version="1.0" encoding="utf-8"?>
<sst xmlns="http://schemas.openxmlformats.org/spreadsheetml/2006/main" count="998" uniqueCount="277">
  <si>
    <t>COUNTY</t>
  </si>
  <si>
    <t>CASE_STATUS</t>
  </si>
  <si>
    <t>Cases</t>
  </si>
  <si>
    <t>Deaths</t>
  </si>
  <si>
    <t>Updated</t>
  </si>
  <si>
    <t>Alcona</t>
  </si>
  <si>
    <t>Confirmed</t>
  </si>
  <si>
    <t>Probable</t>
  </si>
  <si>
    <t>Alger</t>
  </si>
  <si>
    <t>Allegan</t>
  </si>
  <si>
    <t>Alpena</t>
  </si>
  <si>
    <t>Antrim</t>
  </si>
  <si>
    <t>Arenac</t>
  </si>
  <si>
    <t>Baraga</t>
  </si>
  <si>
    <t>Barry</t>
  </si>
  <si>
    <t>Bay</t>
  </si>
  <si>
    <t>Benzie</t>
  </si>
  <si>
    <t>Berrien</t>
  </si>
  <si>
    <t>Branch</t>
  </si>
  <si>
    <t>Calhoun</t>
  </si>
  <si>
    <t>Cass</t>
  </si>
  <si>
    <t>Charlevoix</t>
  </si>
  <si>
    <t>Cheboygan</t>
  </si>
  <si>
    <t>Chippewa</t>
  </si>
  <si>
    <t>Clare</t>
  </si>
  <si>
    <t>Clinton</t>
  </si>
  <si>
    <t>Crawford</t>
  </si>
  <si>
    <t>Delta</t>
  </si>
  <si>
    <t>Detroit City</t>
  </si>
  <si>
    <t>Dickinson</t>
  </si>
  <si>
    <t>Eaton</t>
  </si>
  <si>
    <t>Emmet</t>
  </si>
  <si>
    <t>FCI</t>
  </si>
  <si>
    <t>Genesee</t>
  </si>
  <si>
    <t>Gladwin</t>
  </si>
  <si>
    <t>Gogebic</t>
  </si>
  <si>
    <t>Grand Traverse</t>
  </si>
  <si>
    <t>Gratiot</t>
  </si>
  <si>
    <t>Hillsdale</t>
  </si>
  <si>
    <t>Houghton</t>
  </si>
  <si>
    <t>Huron</t>
  </si>
  <si>
    <t>Ingham</t>
  </si>
  <si>
    <t>Ionia</t>
  </si>
  <si>
    <t>Iosco</t>
  </si>
  <si>
    <t>Iron</t>
  </si>
  <si>
    <t>Isabella</t>
  </si>
  <si>
    <t>Jackson</t>
  </si>
  <si>
    <t>Kalamazoo</t>
  </si>
  <si>
    <t>Kalkaska</t>
  </si>
  <si>
    <t>Kent</t>
  </si>
  <si>
    <t>Keweenaw</t>
  </si>
  <si>
    <t>Lake</t>
  </si>
  <si>
    <t>Lapeer</t>
  </si>
  <si>
    <t>Leelanau</t>
  </si>
  <si>
    <t>Lenawee</t>
  </si>
  <si>
    <t>Livingston</t>
  </si>
  <si>
    <t>Luce</t>
  </si>
  <si>
    <t>MDOC</t>
  </si>
  <si>
    <t>Mackinac</t>
  </si>
  <si>
    <t>Macomb</t>
  </si>
  <si>
    <t>Manistee</t>
  </si>
  <si>
    <t>Marquette</t>
  </si>
  <si>
    <t>Mason</t>
  </si>
  <si>
    <t>Mecosta</t>
  </si>
  <si>
    <t>Menominee</t>
  </si>
  <si>
    <t>Midland</t>
  </si>
  <si>
    <t>Missaukee</t>
  </si>
  <si>
    <t>Monroe</t>
  </si>
  <si>
    <t>Montcalm</t>
  </si>
  <si>
    <t>Montmorency</t>
  </si>
  <si>
    <t>Muskegon</t>
  </si>
  <si>
    <t>Newaygo</t>
  </si>
  <si>
    <t>Oakland</t>
  </si>
  <si>
    <t>Oceana</t>
  </si>
  <si>
    <t>Ogemaw</t>
  </si>
  <si>
    <t>Ontonagon</t>
  </si>
  <si>
    <t>Osceola</t>
  </si>
  <si>
    <t>Oscoda</t>
  </si>
  <si>
    <t>Otsego</t>
  </si>
  <si>
    <t>Ottawa</t>
  </si>
  <si>
    <t>Out-of-State</t>
  </si>
  <si>
    <t>Presque Isle</t>
  </si>
  <si>
    <t>Roscommon</t>
  </si>
  <si>
    <t>Saginaw</t>
  </si>
  <si>
    <t>Sanilac</t>
  </si>
  <si>
    <t>Schoolcraft</t>
  </si>
  <si>
    <t>Shiawassee</t>
  </si>
  <si>
    <t>St Clair</t>
  </si>
  <si>
    <t>St Joseph</t>
  </si>
  <si>
    <t>Tuscola</t>
  </si>
  <si>
    <t>Unknown</t>
  </si>
  <si>
    <t>Van Buren</t>
  </si>
  <si>
    <t>Washtenaw</t>
  </si>
  <si>
    <t>Wayne</t>
  </si>
  <si>
    <t>Wexford</t>
  </si>
  <si>
    <t>STATE</t>
  </si>
  <si>
    <t>Michigan</t>
  </si>
  <si>
    <t>Location</t>
  </si>
  <si>
    <t>Name</t>
  </si>
  <si>
    <t>2022 Population</t>
  </si>
  <si>
    <t>Growth Since 2010</t>
  </si>
  <si>
    <t>Density (mi²)</t>
  </si>
  <si>
    <t>Wayne County</t>
  </si>
  <si>
    <t>Oakland County</t>
  </si>
  <si>
    <t>Macomb County</t>
  </si>
  <si>
    <t>Kent County</t>
  </si>
  <si>
    <t>Genesee County</t>
  </si>
  <si>
    <t>Washtenaw County</t>
  </si>
  <si>
    <t>Ottawa County</t>
  </si>
  <si>
    <t>Ingham County</t>
  </si>
  <si>
    <t>Kalamazoo County</t>
  </si>
  <si>
    <t>Livingston County</t>
  </si>
  <si>
    <t>Saginaw County</t>
  </si>
  <si>
    <t>Muskegon County</t>
  </si>
  <si>
    <t>St. Clair County</t>
  </si>
  <si>
    <t>Jackson County</t>
  </si>
  <si>
    <t>Berrien County</t>
  </si>
  <si>
    <t>Monroe County</t>
  </si>
  <si>
    <t>Calhoun County</t>
  </si>
  <si>
    <t>Allegan County</t>
  </si>
  <si>
    <t>Eaton County</t>
  </si>
  <si>
    <t>Bay County</t>
  </si>
  <si>
    <t>Lenawee County</t>
  </si>
  <si>
    <t>Grand Traverse County</t>
  </si>
  <si>
    <t>Lapeer County</t>
  </si>
  <si>
    <t>Midland County</t>
  </si>
  <si>
    <t>Clinton County</t>
  </si>
  <si>
    <t>Van Buren County</t>
  </si>
  <si>
    <t>Isabella County</t>
  </si>
  <si>
    <t>Shiawassee County</t>
  </si>
  <si>
    <t>Marquette County</t>
  </si>
  <si>
    <t>Ionia County</t>
  </si>
  <si>
    <t>Montcalm County</t>
  </si>
  <si>
    <t>Barry County</t>
  </si>
  <si>
    <t>St. Joseph County</t>
  </si>
  <si>
    <t>Cass County</t>
  </si>
  <si>
    <t>Tuscola County</t>
  </si>
  <si>
    <t>Newaygo County</t>
  </si>
  <si>
    <t>Hillsdale County</t>
  </si>
  <si>
    <t>Mecosta County</t>
  </si>
  <si>
    <t>Branch County</t>
  </si>
  <si>
    <t>Sanilac County</t>
  </si>
  <si>
    <t>Gratiot County</t>
  </si>
  <si>
    <t>Chippewa County</t>
  </si>
  <si>
    <t>Delta County</t>
  </si>
  <si>
    <t>Houghton County</t>
  </si>
  <si>
    <t>Wexford County</t>
  </si>
  <si>
    <t>Emmet County</t>
  </si>
  <si>
    <t>Clare County</t>
  </si>
  <si>
    <t>Huron County</t>
  </si>
  <si>
    <t>Mason County</t>
  </si>
  <si>
    <t>Alpena County</t>
  </si>
  <si>
    <t>Oceana County</t>
  </si>
  <si>
    <t>Charlevoix County</t>
  </si>
  <si>
    <t>Gladwin County</t>
  </si>
  <si>
    <t>Iosco County</t>
  </si>
  <si>
    <t>Manistee County</t>
  </si>
  <si>
    <t>Dickinson County</t>
  </si>
  <si>
    <t>Otsego County</t>
  </si>
  <si>
    <t>Roscommon County</t>
  </si>
  <si>
    <t>Cheboygan County</t>
  </si>
  <si>
    <t>Osceola County</t>
  </si>
  <si>
    <t>Antrim County</t>
  </si>
  <si>
    <t>Menominee County</t>
  </si>
  <si>
    <t>Leelanau County</t>
  </si>
  <si>
    <t>Ogemaw County</t>
  </si>
  <si>
    <t>Kalkaska County</t>
  </si>
  <si>
    <t>Benzie County</t>
  </si>
  <si>
    <t>Missaukee County</t>
  </si>
  <si>
    <t>Arenac County</t>
  </si>
  <si>
    <t>Crawford County</t>
  </si>
  <si>
    <t>Presque Isle County</t>
  </si>
  <si>
    <t>Lake County</t>
  </si>
  <si>
    <t>Iron County</t>
  </si>
  <si>
    <t>Mackinac County</t>
  </si>
  <si>
    <t>Gogebic County</t>
  </si>
  <si>
    <t>Alcona County</t>
  </si>
  <si>
    <t>Montmorency County</t>
  </si>
  <si>
    <t>Alger County</t>
  </si>
  <si>
    <t>Oscoda County</t>
  </si>
  <si>
    <t>Schoolcraft County</t>
  </si>
  <si>
    <t>Baraga County</t>
  </si>
  <si>
    <t>Luce County</t>
  </si>
  <si>
    <t>Ontonagon County</t>
  </si>
  <si>
    <t>Keweenaw County</t>
  </si>
  <si>
    <t>Percent Cases</t>
  </si>
  <si>
    <t>Percent Deaths</t>
  </si>
  <si>
    <t>Population</t>
  </si>
  <si>
    <t>Alcona, Michigan</t>
  </si>
  <si>
    <t>Alger, Michigan</t>
  </si>
  <si>
    <t>Allegan, Michigan</t>
  </si>
  <si>
    <t>Alpena, Michigan</t>
  </si>
  <si>
    <t>Antrim, Michigan</t>
  </si>
  <si>
    <t>Arenac, Michigan</t>
  </si>
  <si>
    <t>Baraga, Michigan</t>
  </si>
  <si>
    <t>Barry, Michigan</t>
  </si>
  <si>
    <t>Bay, Michigan</t>
  </si>
  <si>
    <t>Benzie, Michigan</t>
  </si>
  <si>
    <t>Berrien, Michigan</t>
  </si>
  <si>
    <t>Branch, Michigan</t>
  </si>
  <si>
    <t>Calhoun, Michigan</t>
  </si>
  <si>
    <t>Cass, Michigan</t>
  </si>
  <si>
    <t>Charlevoix, Michigan</t>
  </si>
  <si>
    <t>Cheboygan, Michigan</t>
  </si>
  <si>
    <t>Chippewa, Michigan</t>
  </si>
  <si>
    <t>Clare, Michigan</t>
  </si>
  <si>
    <t>Clinton, Michigan</t>
  </si>
  <si>
    <t>Crawford, Michigan</t>
  </si>
  <si>
    <t>Delta, Michigan</t>
  </si>
  <si>
    <t>Detroit City, Michigan</t>
  </si>
  <si>
    <t xml:space="preserve"> </t>
  </si>
  <si>
    <t>Dickinson, Michigan</t>
  </si>
  <si>
    <t>Eaton, Michigan</t>
  </si>
  <si>
    <t>Emmet, Michigan</t>
  </si>
  <si>
    <t>FCI, Michigan</t>
  </si>
  <si>
    <t>Genesee, Michigan</t>
  </si>
  <si>
    <t>Gladwin, Michigan</t>
  </si>
  <si>
    <t>Gogebic, Michigan</t>
  </si>
  <si>
    <t>Grand Traverse, Michigan</t>
  </si>
  <si>
    <t>Gratiot, Michigan</t>
  </si>
  <si>
    <t>Hillsdale, Michigan</t>
  </si>
  <si>
    <t>Houghton, Michigan</t>
  </si>
  <si>
    <t>Huron, Michigan</t>
  </si>
  <si>
    <t>Ingham, Michigan</t>
  </si>
  <si>
    <t>Ionia, Michigan</t>
  </si>
  <si>
    <t>Iosco, Michigan</t>
  </si>
  <si>
    <t>Iron, Michigan</t>
  </si>
  <si>
    <t>Isabella, Michigan</t>
  </si>
  <si>
    <t>Jackson, Michigan</t>
  </si>
  <si>
    <t>Kalamazoo, Michigan</t>
  </si>
  <si>
    <t>Kalkaska, Michigan</t>
  </si>
  <si>
    <t>Kent, Michigan</t>
  </si>
  <si>
    <t>Keweenaw, Michigan</t>
  </si>
  <si>
    <t>Lake, Michigan</t>
  </si>
  <si>
    <t>Lapeer, Michigan</t>
  </si>
  <si>
    <t>Leelanau, Michigan</t>
  </si>
  <si>
    <t>Lenawee, Michigan</t>
  </si>
  <si>
    <t>Livingston, Michigan</t>
  </si>
  <si>
    <t>Luce, Michigan</t>
  </si>
  <si>
    <t>MDOC, Michigan</t>
  </si>
  <si>
    <t>Mackinac, Michigan</t>
  </si>
  <si>
    <t>Macomb, Michigan</t>
  </si>
  <si>
    <t>Manistee, Michigan</t>
  </si>
  <si>
    <t>Marquette, Michigan</t>
  </si>
  <si>
    <t>Mason, Michigan</t>
  </si>
  <si>
    <t>Mecosta, Michigan</t>
  </si>
  <si>
    <t>Menominee, Michigan</t>
  </si>
  <si>
    <t>Midland, Michigan</t>
  </si>
  <si>
    <t>Missaukee, Michigan</t>
  </si>
  <si>
    <t>Monroe, Michigan</t>
  </si>
  <si>
    <t>Montcalm, Michigan</t>
  </si>
  <si>
    <t>Montmorency, Michigan</t>
  </si>
  <si>
    <t>Muskegon, Michigan</t>
  </si>
  <si>
    <t>Newaygo, Michigan</t>
  </si>
  <si>
    <t>Oakland, Michigan</t>
  </si>
  <si>
    <t>Oceana, Michigan</t>
  </si>
  <si>
    <t>Ogemaw, Michigan</t>
  </si>
  <si>
    <t>Ontonagon, Michigan</t>
  </si>
  <si>
    <t>Osceola, Michigan</t>
  </si>
  <si>
    <t>Oscoda, Michigan</t>
  </si>
  <si>
    <t>Otsego, Michigan</t>
  </si>
  <si>
    <t>Ottawa, Michigan</t>
  </si>
  <si>
    <t>Out-of-State, Michigan</t>
  </si>
  <si>
    <t>Presque Isle, Michigan</t>
  </si>
  <si>
    <t>Roscommon, Michigan</t>
  </si>
  <si>
    <t>Saginaw, Michigan</t>
  </si>
  <si>
    <t>Sanilac, Michigan</t>
  </si>
  <si>
    <t>Schoolcraft, Michigan</t>
  </si>
  <si>
    <t>Shiawassee, Michigan</t>
  </si>
  <si>
    <t>St Clair, Michigan</t>
  </si>
  <si>
    <t>St Joseph, Michigan</t>
  </si>
  <si>
    <t>Tuscola, Michigan</t>
  </si>
  <si>
    <t>Unknown, Michigan</t>
  </si>
  <si>
    <t>Van Buren, Michigan</t>
  </si>
  <si>
    <t>Washtenaw, Michigan</t>
  </si>
  <si>
    <t>Wayne, Michigan</t>
  </si>
  <si>
    <t>Wexford, Michigan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</si>
</sst>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3" x14ac:knownFonts="1">
    <font>
      <sz val="11"/>
      <color theme="1"/>
      <name val="Calibri"/>
      <family val="2"/>
      <scheme val="minor"/>
    </font>
    <font>
      <sz val="11"/>
      <color rgb="FF000000"/>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0" fontId="1" fillId="0" borderId="0"/>
  </cellStyleXfs>
  <cellXfs count="4">
    <xf numFmtId="0" fontId="0" fillId="0" borderId="0" xfId="0"/>
    <xf numFmtId="0" fontId="1" fillId="0" borderId="0" xfId="1"/>
    <xf numFmtId="164" fontId="2" fillId="0" borderId="0" xfId="1" applyNumberFormat="1" applyFont="1"/>
    <xf numFmtId="0" fontId="0" fillId="0" borderId="0" xfId="0" applyNumberFormat="1"/>
  </cellXfs>
  <cellStyles count="2">
    <cellStyle name="Normal" xfId="0" builtinId="0"/>
    <cellStyle name="Normal 2" xfId="1" xr:uid="{41CC87C7-F609-4C18-AEEA-C89C1226E12B}"/>
  </cellStyles>
  <dxfs count="2">
    <dxf>
      <fill>
        <patternFill>
          <bgColor rgb="FFFF0000"/>
        </patternFill>
      </fil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220980</xdr:colOff>
      <xdr:row>0</xdr:row>
      <xdr:rowOff>144780</xdr:rowOff>
    </xdr:from>
    <xdr:to>
      <xdr:col>13</xdr:col>
      <xdr:colOff>441960</xdr:colOff>
      <xdr:row>7</xdr:row>
      <xdr:rowOff>137160</xdr:rowOff>
    </xdr:to>
    <xdr:sp macro="" textlink="">
      <xdr:nvSpPr>
        <xdr:cNvPr id="2" name="TextBox 1">
          <a:extLst>
            <a:ext uri="{FF2B5EF4-FFF2-40B4-BE49-F238E27FC236}">
              <a16:creationId xmlns:a16="http://schemas.microsoft.com/office/drawing/2014/main" id="{CF6375EE-6269-4F35-8425-84BE56675FA4}"/>
            </a:ext>
          </a:extLst>
        </xdr:cNvPr>
        <xdr:cNvSpPr txBox="1"/>
      </xdr:nvSpPr>
      <xdr:spPr>
        <a:xfrm>
          <a:off x="220980" y="144780"/>
          <a:ext cx="8145780" cy="1272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Q1</a:t>
          </a:r>
          <a:r>
            <a:rPr lang="en-US" sz="1100">
              <a:solidFill>
                <a:schemeClr val="dk1"/>
              </a:solidFill>
              <a:effectLst/>
              <a:latin typeface="+mn-lt"/>
              <a:ea typeface="+mn-ea"/>
              <a:cs typeface="+mn-cs"/>
            </a:rPr>
            <a:t>: What are the top 3 counties that have the highest percent of deaths? Where are they located (north, north west, south, west, etc.)? Provide a screenshot to support your answer.</a:t>
          </a:r>
        </a:p>
        <a:p>
          <a:endParaRPr lang="en-US" sz="1100"/>
        </a:p>
        <a:p>
          <a:r>
            <a:rPr lang="en-US" sz="1100"/>
            <a:t>The top 3 counties with the highest</a:t>
          </a:r>
          <a:r>
            <a:rPr lang="en-US" sz="1100" baseline="0"/>
            <a:t> percent of deaths were Alcona, Oscoda and Ontonagon. Alcona and Oscoda are in the North and to the East part of the lower penninsula. They are the two dots close to eachother. Ontonagon is in the upper penninsula in the North and West. All of them are along the water.</a:t>
          </a:r>
          <a:endParaRPr lang="en-US" sz="1100"/>
        </a:p>
      </xdr:txBody>
    </xdr:sp>
    <xdr:clientData/>
  </xdr:twoCellAnchor>
  <xdr:oneCellAnchor>
    <xdr:from>
      <xdr:col>1</xdr:col>
      <xdr:colOff>91440</xdr:colOff>
      <xdr:row>10</xdr:row>
      <xdr:rowOff>91440</xdr:rowOff>
    </xdr:from>
    <xdr:ext cx="184731" cy="264560"/>
    <xdr:sp macro="" textlink="">
      <xdr:nvSpPr>
        <xdr:cNvPr id="3" name="TextBox 2">
          <a:extLst>
            <a:ext uri="{FF2B5EF4-FFF2-40B4-BE49-F238E27FC236}">
              <a16:creationId xmlns:a16="http://schemas.microsoft.com/office/drawing/2014/main" id="{BEB4F998-8437-4BAC-AA12-AA9EC995FD2D}"/>
            </a:ext>
          </a:extLst>
        </xdr:cNvPr>
        <xdr:cNvSpPr txBox="1"/>
      </xdr:nvSpPr>
      <xdr:spPr>
        <a:xfrm>
          <a:off x="701040" y="19202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152400</xdr:colOff>
      <xdr:row>46</xdr:row>
      <xdr:rowOff>68580</xdr:rowOff>
    </xdr:from>
    <xdr:to>
      <xdr:col>14</xdr:col>
      <xdr:colOff>15240</xdr:colOff>
      <xdr:row>52</xdr:row>
      <xdr:rowOff>38100</xdr:rowOff>
    </xdr:to>
    <xdr:sp macro="" textlink="">
      <xdr:nvSpPr>
        <xdr:cNvPr id="5" name="TextBox 4">
          <a:extLst>
            <a:ext uri="{FF2B5EF4-FFF2-40B4-BE49-F238E27FC236}">
              <a16:creationId xmlns:a16="http://schemas.microsoft.com/office/drawing/2014/main" id="{D9AD29DC-0223-4AEA-927D-580562DE9F7C}"/>
            </a:ext>
          </a:extLst>
        </xdr:cNvPr>
        <xdr:cNvSpPr txBox="1"/>
      </xdr:nvSpPr>
      <xdr:spPr>
        <a:xfrm>
          <a:off x="152400" y="8481060"/>
          <a:ext cx="839724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Q3</a:t>
          </a:r>
          <a:r>
            <a:rPr lang="en-US" sz="1100">
              <a:solidFill>
                <a:schemeClr val="dk1"/>
              </a:solidFill>
              <a:effectLst/>
              <a:latin typeface="+mn-lt"/>
              <a:ea typeface="+mn-ea"/>
              <a:cs typeface="+mn-cs"/>
            </a:rPr>
            <a:t>: List two most distinctive patterns that you see by comparing the two map visuals (percent of cases versus percent of deaths).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When</a:t>
          </a:r>
          <a:r>
            <a:rPr lang="en-US" sz="1100" baseline="0">
              <a:solidFill>
                <a:schemeClr val="dk1"/>
              </a:solidFill>
              <a:effectLst/>
              <a:latin typeface="+mn-lt"/>
              <a:ea typeface="+mn-ea"/>
              <a:cs typeface="+mn-cs"/>
            </a:rPr>
            <a:t> looking at the two map visuals one of the biggest patterns I see is that the more populated parts of Michigan have more cases, but the higher death rates are in more rural areas.</a:t>
          </a:r>
          <a:r>
            <a:rPr lang="en-US" sz="1100">
              <a:solidFill>
                <a:schemeClr val="dk1"/>
              </a:solidFill>
              <a:effectLst/>
              <a:latin typeface="+mn-lt"/>
              <a:ea typeface="+mn-ea"/>
              <a:cs typeface="+mn-cs"/>
            </a:rPr>
            <a:t> The second</a:t>
          </a:r>
          <a:r>
            <a:rPr lang="en-US" sz="1100" baseline="0">
              <a:solidFill>
                <a:schemeClr val="dk1"/>
              </a:solidFill>
              <a:effectLst/>
              <a:latin typeface="+mn-lt"/>
              <a:ea typeface="+mn-ea"/>
              <a:cs typeface="+mn-cs"/>
            </a:rPr>
            <a:t> biggest pattern I see when comparing the two is that the north east part of the lower pennisula is hit hard with the death rates even though they have a low percent of cases.</a:t>
          </a:r>
          <a:endParaRPr lang="en-US" sz="1100"/>
        </a:p>
      </xdr:txBody>
    </xdr:sp>
    <xdr:clientData/>
  </xdr:twoCellAnchor>
  <xdr:twoCellAnchor>
    <xdr:from>
      <xdr:col>0</xdr:col>
      <xdr:colOff>175260</xdr:colOff>
      <xdr:row>33</xdr:row>
      <xdr:rowOff>114300</xdr:rowOff>
    </xdr:from>
    <xdr:to>
      <xdr:col>14</xdr:col>
      <xdr:colOff>76200</xdr:colOff>
      <xdr:row>38</xdr:row>
      <xdr:rowOff>53340</xdr:rowOff>
    </xdr:to>
    <xdr:sp macro="" textlink="">
      <xdr:nvSpPr>
        <xdr:cNvPr id="6" name="TextBox 5">
          <a:extLst>
            <a:ext uri="{FF2B5EF4-FFF2-40B4-BE49-F238E27FC236}">
              <a16:creationId xmlns:a16="http://schemas.microsoft.com/office/drawing/2014/main" id="{00D3509E-5EC4-4753-95BF-B53CFB6627DC}"/>
            </a:ext>
          </a:extLst>
        </xdr:cNvPr>
        <xdr:cNvSpPr txBox="1"/>
      </xdr:nvSpPr>
      <xdr:spPr>
        <a:xfrm>
          <a:off x="175260" y="6149340"/>
          <a:ext cx="8435340" cy="853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Q2</a:t>
          </a:r>
          <a:r>
            <a:rPr lang="en-US" sz="1100">
              <a:solidFill>
                <a:schemeClr val="dk1"/>
              </a:solidFill>
              <a:effectLst/>
              <a:latin typeface="+mn-lt"/>
              <a:ea typeface="+mn-ea"/>
              <a:cs typeface="+mn-cs"/>
            </a:rPr>
            <a:t>: Which county among the above top 3 has the largest per capita COVID cases? Provide a screenshot to support your answer.</a:t>
          </a:r>
        </a:p>
        <a:p>
          <a:endParaRPr lang="en-US" sz="1100"/>
        </a:p>
        <a:p>
          <a:r>
            <a:rPr lang="en-US" sz="1100"/>
            <a:t>Ontonagon</a:t>
          </a:r>
          <a:r>
            <a:rPr lang="en-US" sz="1100" baseline="0"/>
            <a:t> is the county with largest per capita COVID cases out of the 3 highest death rate counties. The percent cases reflects that.</a:t>
          </a:r>
          <a:endParaRPr lang="en-US" sz="1100"/>
        </a:p>
      </xdr:txBody>
    </xdr:sp>
    <xdr:clientData/>
  </xdr:twoCellAnchor>
  <xdr:twoCellAnchor editAs="oneCell">
    <xdr:from>
      <xdr:col>0</xdr:col>
      <xdr:colOff>350520</xdr:colOff>
      <xdr:row>9</xdr:row>
      <xdr:rowOff>7620</xdr:rowOff>
    </xdr:from>
    <xdr:to>
      <xdr:col>13</xdr:col>
      <xdr:colOff>198120</xdr:colOff>
      <xdr:row>33</xdr:row>
      <xdr:rowOff>7541</xdr:rowOff>
    </xdr:to>
    <xdr:pic>
      <xdr:nvPicPr>
        <xdr:cNvPr id="7" name="Picture 6">
          <a:extLst>
            <a:ext uri="{FF2B5EF4-FFF2-40B4-BE49-F238E27FC236}">
              <a16:creationId xmlns:a16="http://schemas.microsoft.com/office/drawing/2014/main" id="{935538A0-DEE9-4922-A4A6-A21154D2032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0520" y="1653540"/>
          <a:ext cx="7772400" cy="4389041"/>
        </a:xfrm>
        <a:prstGeom prst="rect">
          <a:avLst/>
        </a:prstGeom>
      </xdr:spPr>
    </xdr:pic>
    <xdr:clientData/>
  </xdr:twoCellAnchor>
  <xdr:twoCellAnchor editAs="oneCell">
    <xdr:from>
      <xdr:col>0</xdr:col>
      <xdr:colOff>518160</xdr:colOff>
      <xdr:row>38</xdr:row>
      <xdr:rowOff>129540</xdr:rowOff>
    </xdr:from>
    <xdr:to>
      <xdr:col>13</xdr:col>
      <xdr:colOff>38100</xdr:colOff>
      <xdr:row>45</xdr:row>
      <xdr:rowOff>60960</xdr:rowOff>
    </xdr:to>
    <xdr:pic>
      <xdr:nvPicPr>
        <xdr:cNvPr id="11" name="Picture 10">
          <a:extLst>
            <a:ext uri="{FF2B5EF4-FFF2-40B4-BE49-F238E27FC236}">
              <a16:creationId xmlns:a16="http://schemas.microsoft.com/office/drawing/2014/main" id="{9310ED2F-D4E9-471A-92BB-70EC4291858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18160" y="7078980"/>
          <a:ext cx="7444740" cy="1211580"/>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930B19D-252D-481C-8C7C-4CB6922E452E}" autoFormatId="16" applyNumberFormats="0" applyBorderFormats="0" applyFontFormats="0" applyPatternFormats="0" applyAlignmentFormats="0" applyWidthHeightFormats="0">
  <queryTableRefresh nextId="5">
    <queryTableFields count="4">
      <queryTableField id="1" name="Name" tableColumnId="1"/>
      <queryTableField id="2" name="2022 Population" tableColumnId="2"/>
      <queryTableField id="3" name="Growth Since 2010" tableColumnId="3"/>
      <queryTableField id="4" name="Density (mi²)"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124E7-662C-4C4A-A2BE-7A8739882F99}" name="PopulationTable" displayName="PopulationTable" ref="A1:D84" tableType="queryTable" totalsRowShown="0">
  <autoFilter ref="A1:D84" xr:uid="{AE7124E7-662C-4C4A-A2BE-7A8739882F99}"/>
  <tableColumns count="4">
    <tableColumn id="1" xr3:uid="{C4A5C6F0-9352-40EE-B7C1-6060CF39ADCA}" uniqueName="1" name="Name" queryTableFieldId="1" dataDxfId="1"/>
    <tableColumn id="2" xr3:uid="{078A33FC-DA39-44DF-A8C8-81C2B3A0DED5}" uniqueName="2" name="2022 Population" queryTableFieldId="2"/>
    <tableColumn id="3" xr3:uid="{B70AB6B5-01A7-4BED-8A27-1A1437F39C0E}" uniqueName="3" name="Growth Since 2010" queryTableFieldId="3"/>
    <tableColumn id="4" xr3:uid="{6AD754BB-21C2-47CF-92DF-17353C68CF1C}" uniqueName="4" name="Density (mi²)" queryTableField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F655D-03E2-4CED-BAD6-3E6488B9E396}">
  <sheetPr codeName="Sheet2" filterMode="1"/>
  <dimension ref="A1:J176"/>
  <sheetViews>
    <sheetView workbookViewId="0">
      <selection activeCell="G2" sqref="G2"/>
    </sheetView>
  </sheetViews>
  <sheetFormatPr defaultRowHeight="14.4" x14ac:dyDescent="0.3"/>
  <cols>
    <col min="3" max="3" width="15.21875" customWidth="1"/>
    <col min="4" max="4" width="17.77734375" customWidth="1"/>
    <col min="6" max="6" width="8.88671875" customWidth="1"/>
    <col min="7" max="7" width="10.5546875" customWidth="1"/>
    <col min="8" max="8" width="15.33203125" customWidth="1"/>
    <col min="9" max="9" width="16.77734375" customWidth="1"/>
    <col min="10" max="10" width="25.5546875" customWidth="1"/>
  </cols>
  <sheetData>
    <row r="1" spans="1:10" x14ac:dyDescent="0.3">
      <c r="A1" s="1" t="s">
        <v>0</v>
      </c>
      <c r="B1" s="1" t="s">
        <v>95</v>
      </c>
      <c r="C1" s="1" t="s">
        <v>97</v>
      </c>
      <c r="D1" s="1" t="s">
        <v>1</v>
      </c>
      <c r="E1" s="1" t="s">
        <v>2</v>
      </c>
      <c r="F1" s="1" t="s">
        <v>3</v>
      </c>
      <c r="G1" s="1" t="s">
        <v>187</v>
      </c>
      <c r="H1" s="1" t="s">
        <v>185</v>
      </c>
      <c r="I1" s="1" t="s">
        <v>186</v>
      </c>
      <c r="J1" s="1" t="s">
        <v>4</v>
      </c>
    </row>
    <row r="2" spans="1:10" x14ac:dyDescent="0.3">
      <c r="A2" s="1" t="s">
        <v>5</v>
      </c>
      <c r="B2" s="1" t="s">
        <v>96</v>
      </c>
      <c r="C2" s="1" t="str">
        <f>_xlfn.CONCAT(A2,", ",B2)</f>
        <v>Alcona, Michigan</v>
      </c>
      <c r="D2" s="1" t="s">
        <v>6</v>
      </c>
      <c r="E2" s="1">
        <v>1275</v>
      </c>
      <c r="F2" s="1">
        <v>61</v>
      </c>
      <c r="G2" s="1">
        <f>_xlfn.IFNA(VLOOKUP(A2 &amp; "*", PopulationTable[#All],2,FALSE), " ")</f>
        <v>10540</v>
      </c>
      <c r="H2" s="1">
        <f>IFERROR(E2/G2," ")</f>
        <v>0.12096774193548387</v>
      </c>
      <c r="I2" s="1">
        <f>IFERROR(F2/E2, " ")</f>
        <v>4.7843137254901962E-2</v>
      </c>
      <c r="J2" s="2">
        <v>44599.837741331299</v>
      </c>
    </row>
    <row r="3" spans="1:10" hidden="1" x14ac:dyDescent="0.3">
      <c r="A3" s="1" t="s">
        <v>5</v>
      </c>
      <c r="B3" s="1" t="s">
        <v>96</v>
      </c>
      <c r="C3" s="1" t="str">
        <f t="shared" ref="C3:C66" si="0">_xlfn.CONCAT(A3,", ",B3)</f>
        <v>Alcona, Michigan</v>
      </c>
      <c r="D3" s="1" t="s">
        <v>7</v>
      </c>
      <c r="E3" s="1">
        <v>379</v>
      </c>
      <c r="F3" s="1">
        <v>6</v>
      </c>
      <c r="G3" s="1">
        <f>_xlfn.IFNA(VLOOKUP(A3 &amp; "*", PopulationTable[#All],2,FALSE), " ")</f>
        <v>10540</v>
      </c>
      <c r="H3" s="1">
        <f t="shared" ref="H3:H66" si="1">IFERROR(E3/G3," ")</f>
        <v>3.5958254269449715E-2</v>
      </c>
      <c r="I3" s="1">
        <f t="shared" ref="I3:I66" si="2">IFERROR(F3/E3, " ")</f>
        <v>1.5831134564643801E-2</v>
      </c>
      <c r="J3" s="2">
        <v>44599.837741331299</v>
      </c>
    </row>
    <row r="4" spans="1:10" x14ac:dyDescent="0.3">
      <c r="A4" s="1" t="s">
        <v>8</v>
      </c>
      <c r="B4" s="1" t="s">
        <v>96</v>
      </c>
      <c r="C4" s="1" t="str">
        <f t="shared" si="0"/>
        <v>Alger, Michigan</v>
      </c>
      <c r="D4" s="1" t="s">
        <v>6</v>
      </c>
      <c r="E4" s="1">
        <v>1000</v>
      </c>
      <c r="F4" s="1">
        <v>7</v>
      </c>
      <c r="G4" s="1">
        <f>_xlfn.IFNA(VLOOKUP(A4 &amp; "*", PopulationTable[#All],2,FALSE), " ")</f>
        <v>9078</v>
      </c>
      <c r="H4" s="1">
        <f t="shared" si="1"/>
        <v>0.11015642211940956</v>
      </c>
      <c r="I4" s="1">
        <f t="shared" si="2"/>
        <v>7.0000000000000001E-3</v>
      </c>
      <c r="J4" s="2">
        <v>44599.837741331299</v>
      </c>
    </row>
    <row r="5" spans="1:10" hidden="1" x14ac:dyDescent="0.3">
      <c r="A5" s="1" t="s">
        <v>8</v>
      </c>
      <c r="B5" s="1" t="s">
        <v>96</v>
      </c>
      <c r="C5" s="1" t="str">
        <f t="shared" si="0"/>
        <v>Alger, Michigan</v>
      </c>
      <c r="D5" s="1" t="s">
        <v>7</v>
      </c>
      <c r="E5" s="1">
        <v>647</v>
      </c>
      <c r="F5" s="1">
        <v>5</v>
      </c>
      <c r="G5" s="1">
        <f>_xlfn.IFNA(VLOOKUP(A5 &amp; "*", PopulationTable[#All],2,FALSE), " ")</f>
        <v>9078</v>
      </c>
      <c r="H5" s="1">
        <f t="shared" si="1"/>
        <v>7.1271205111257993E-2</v>
      </c>
      <c r="I5" s="1">
        <f t="shared" si="2"/>
        <v>7.7279752704791345E-3</v>
      </c>
      <c r="J5" s="2">
        <v>44599.837741331299</v>
      </c>
    </row>
    <row r="6" spans="1:10" x14ac:dyDescent="0.3">
      <c r="A6" s="1" t="s">
        <v>9</v>
      </c>
      <c r="B6" s="1" t="s">
        <v>96</v>
      </c>
      <c r="C6" s="1" t="str">
        <f t="shared" si="0"/>
        <v>Allegan, Michigan</v>
      </c>
      <c r="D6" s="1" t="s">
        <v>6</v>
      </c>
      <c r="E6" s="1">
        <v>23392</v>
      </c>
      <c r="F6" s="1">
        <v>274</v>
      </c>
      <c r="G6" s="1">
        <f>_xlfn.IFNA(VLOOKUP(A6 &amp; "*", PopulationTable[#All],2,FALSE), " ")</f>
        <v>120805</v>
      </c>
      <c r="H6" s="1">
        <f t="shared" si="1"/>
        <v>0.19363436943835105</v>
      </c>
      <c r="I6" s="1">
        <f t="shared" si="2"/>
        <v>1.1713406292749659E-2</v>
      </c>
      <c r="J6" s="2">
        <v>44599.837741343101</v>
      </c>
    </row>
    <row r="7" spans="1:10" hidden="1" x14ac:dyDescent="0.3">
      <c r="A7" s="1" t="s">
        <v>9</v>
      </c>
      <c r="B7" s="1" t="s">
        <v>96</v>
      </c>
      <c r="C7" s="1" t="str">
        <f t="shared" si="0"/>
        <v>Allegan, Michigan</v>
      </c>
      <c r="D7" s="1" t="s">
        <v>7</v>
      </c>
      <c r="E7" s="1">
        <v>2814</v>
      </c>
      <c r="F7" s="1">
        <v>42</v>
      </c>
      <c r="G7" s="1">
        <f>_xlfn.IFNA(VLOOKUP(A7 &amp; "*", PopulationTable[#All],2,FALSE), " ")</f>
        <v>120805</v>
      </c>
      <c r="H7" s="1">
        <f t="shared" si="1"/>
        <v>2.329373784197674E-2</v>
      </c>
      <c r="I7" s="1">
        <f t="shared" si="2"/>
        <v>1.4925373134328358E-2</v>
      </c>
      <c r="J7" s="2">
        <v>44599.837741343101</v>
      </c>
    </row>
    <row r="8" spans="1:10" x14ac:dyDescent="0.3">
      <c r="A8" s="1" t="s">
        <v>10</v>
      </c>
      <c r="B8" s="1" t="s">
        <v>96</v>
      </c>
      <c r="C8" s="1" t="str">
        <f t="shared" si="0"/>
        <v>Alpena, Michigan</v>
      </c>
      <c r="D8" s="1" t="s">
        <v>6</v>
      </c>
      <c r="E8" s="1">
        <v>4094</v>
      </c>
      <c r="F8" s="1">
        <v>116</v>
      </c>
      <c r="G8" s="1">
        <f>_xlfn.IFNA(VLOOKUP(A8 &amp; "*", PopulationTable[#All],2,FALSE), " ")</f>
        <v>28468</v>
      </c>
      <c r="H8" s="1">
        <f t="shared" si="1"/>
        <v>0.14381059435155263</v>
      </c>
      <c r="I8" s="1">
        <f t="shared" si="2"/>
        <v>2.8334147532975085E-2</v>
      </c>
      <c r="J8" s="2">
        <v>44599.837741343101</v>
      </c>
    </row>
    <row r="9" spans="1:10" hidden="1" x14ac:dyDescent="0.3">
      <c r="A9" s="1" t="s">
        <v>10</v>
      </c>
      <c r="B9" s="1" t="s">
        <v>96</v>
      </c>
      <c r="C9" s="1" t="str">
        <f t="shared" si="0"/>
        <v>Alpena, Michigan</v>
      </c>
      <c r="D9" s="1" t="s">
        <v>7</v>
      </c>
      <c r="E9" s="1">
        <v>1227</v>
      </c>
      <c r="F9" s="1">
        <v>9</v>
      </c>
      <c r="G9" s="1">
        <f>_xlfn.IFNA(VLOOKUP(A9 &amp; "*", PopulationTable[#All],2,FALSE), " ")</f>
        <v>28468</v>
      </c>
      <c r="H9" s="1">
        <f t="shared" si="1"/>
        <v>4.3101025713081352E-2</v>
      </c>
      <c r="I9" s="1">
        <f t="shared" si="2"/>
        <v>7.3349633251833741E-3</v>
      </c>
      <c r="J9" s="2">
        <v>44599.837741343101</v>
      </c>
    </row>
    <row r="10" spans="1:10" x14ac:dyDescent="0.3">
      <c r="A10" s="1" t="s">
        <v>11</v>
      </c>
      <c r="B10" s="1" t="s">
        <v>96</v>
      </c>
      <c r="C10" s="1" t="str">
        <f t="shared" si="0"/>
        <v>Antrim, Michigan</v>
      </c>
      <c r="D10" s="1" t="s">
        <v>6</v>
      </c>
      <c r="E10" s="1">
        <v>2904</v>
      </c>
      <c r="F10" s="1">
        <v>47</v>
      </c>
      <c r="G10" s="1">
        <f>_xlfn.IFNA(VLOOKUP(A10 &amp; "*", PopulationTable[#All],2,FALSE), " ")</f>
        <v>23327</v>
      </c>
      <c r="H10" s="1">
        <f t="shared" si="1"/>
        <v>0.12449093325331162</v>
      </c>
      <c r="I10" s="1">
        <f t="shared" si="2"/>
        <v>1.6184573002754821E-2</v>
      </c>
      <c r="J10" s="2">
        <v>44599.837741343101</v>
      </c>
    </row>
    <row r="11" spans="1:10" hidden="1" x14ac:dyDescent="0.3">
      <c r="A11" s="1" t="s">
        <v>11</v>
      </c>
      <c r="B11" s="1" t="s">
        <v>96</v>
      </c>
      <c r="C11" s="1" t="str">
        <f t="shared" si="0"/>
        <v>Antrim, Michigan</v>
      </c>
      <c r="D11" s="1" t="s">
        <v>7</v>
      </c>
      <c r="E11" s="1">
        <v>1232</v>
      </c>
      <c r="F11" s="1">
        <v>8</v>
      </c>
      <c r="G11" s="1">
        <f>_xlfn.IFNA(VLOOKUP(A11 &amp; "*", PopulationTable[#All],2,FALSE), " ")</f>
        <v>23327</v>
      </c>
      <c r="H11" s="1">
        <f t="shared" si="1"/>
        <v>5.2814335319586743E-2</v>
      </c>
      <c r="I11" s="1">
        <f t="shared" si="2"/>
        <v>6.4935064935064939E-3</v>
      </c>
      <c r="J11" s="2">
        <v>44599.837741343101</v>
      </c>
    </row>
    <row r="12" spans="1:10" x14ac:dyDescent="0.3">
      <c r="A12" s="1" t="s">
        <v>12</v>
      </c>
      <c r="B12" s="1" t="s">
        <v>96</v>
      </c>
      <c r="C12" s="1" t="str">
        <f t="shared" si="0"/>
        <v>Arenac, Michigan</v>
      </c>
      <c r="D12" s="1" t="s">
        <v>6</v>
      </c>
      <c r="E12" s="1">
        <v>2742</v>
      </c>
      <c r="F12" s="1">
        <v>59</v>
      </c>
      <c r="G12" s="1">
        <f>_xlfn.IFNA(VLOOKUP(A12 &amp; "*", PopulationTable[#All],2,FALSE), " ")</f>
        <v>14508</v>
      </c>
      <c r="H12" s="1">
        <f t="shared" si="1"/>
        <v>0.18899917287014062</v>
      </c>
      <c r="I12" s="1">
        <f t="shared" si="2"/>
        <v>2.1517140773158278E-2</v>
      </c>
      <c r="J12" s="2">
        <v>44599.837741343101</v>
      </c>
    </row>
    <row r="13" spans="1:10" hidden="1" x14ac:dyDescent="0.3">
      <c r="A13" s="1" t="s">
        <v>12</v>
      </c>
      <c r="B13" s="1" t="s">
        <v>96</v>
      </c>
      <c r="C13" s="1" t="str">
        <f t="shared" si="0"/>
        <v>Arenac, Michigan</v>
      </c>
      <c r="D13" s="1" t="s">
        <v>7</v>
      </c>
      <c r="E13" s="1">
        <v>331</v>
      </c>
      <c r="F13" s="1">
        <v>2</v>
      </c>
      <c r="G13" s="1">
        <f>_xlfn.IFNA(VLOOKUP(A13 &amp; "*", PopulationTable[#All],2,FALSE), " ")</f>
        <v>14508</v>
      </c>
      <c r="H13" s="1">
        <f t="shared" si="1"/>
        <v>2.2814998621450235E-2</v>
      </c>
      <c r="I13" s="1">
        <f t="shared" si="2"/>
        <v>6.0422960725075529E-3</v>
      </c>
      <c r="J13" s="2">
        <v>44599.837741343101</v>
      </c>
    </row>
    <row r="14" spans="1:10" x14ac:dyDescent="0.3">
      <c r="A14" s="1" t="s">
        <v>13</v>
      </c>
      <c r="B14" s="1" t="s">
        <v>96</v>
      </c>
      <c r="C14" s="1" t="str">
        <f t="shared" si="0"/>
        <v>Baraga, Michigan</v>
      </c>
      <c r="D14" s="1" t="s">
        <v>6</v>
      </c>
      <c r="E14" s="1">
        <v>1656</v>
      </c>
      <c r="F14" s="1">
        <v>50</v>
      </c>
      <c r="G14" s="1">
        <f>_xlfn.IFNA(VLOOKUP(A14 &amp; "*", PopulationTable[#All],2,FALSE), " ")</f>
        <v>7864</v>
      </c>
      <c r="H14" s="1">
        <f t="shared" si="1"/>
        <v>0.21057985757884029</v>
      </c>
      <c r="I14" s="1">
        <f t="shared" si="2"/>
        <v>3.0193236714975844E-2</v>
      </c>
      <c r="J14" s="2">
        <v>44599.837741343101</v>
      </c>
    </row>
    <row r="15" spans="1:10" hidden="1" x14ac:dyDescent="0.3">
      <c r="A15" s="1" t="s">
        <v>13</v>
      </c>
      <c r="B15" s="1" t="s">
        <v>96</v>
      </c>
      <c r="C15" s="1" t="str">
        <f t="shared" si="0"/>
        <v>Baraga, Michigan</v>
      </c>
      <c r="D15" s="1" t="s">
        <v>7</v>
      </c>
      <c r="E15" s="1">
        <v>312</v>
      </c>
      <c r="F15" s="1">
        <v>2</v>
      </c>
      <c r="G15" s="1">
        <f>_xlfn.IFNA(VLOOKUP(A15 &amp; "*", PopulationTable[#All],2,FALSE), " ")</f>
        <v>7864</v>
      </c>
      <c r="H15" s="1">
        <f t="shared" si="1"/>
        <v>3.9674465920651068E-2</v>
      </c>
      <c r="I15" s="1">
        <f t="shared" si="2"/>
        <v>6.41025641025641E-3</v>
      </c>
      <c r="J15" s="2">
        <v>44599.837741343101</v>
      </c>
    </row>
    <row r="16" spans="1:10" x14ac:dyDescent="0.3">
      <c r="A16" s="1" t="s">
        <v>14</v>
      </c>
      <c r="B16" s="1" t="s">
        <v>96</v>
      </c>
      <c r="C16" s="1" t="str">
        <f t="shared" si="0"/>
        <v>Barry, Michigan</v>
      </c>
      <c r="D16" s="1" t="s">
        <v>6</v>
      </c>
      <c r="E16" s="1">
        <v>11628</v>
      </c>
      <c r="F16" s="1">
        <v>136</v>
      </c>
      <c r="G16" s="1">
        <f>_xlfn.IFNA(VLOOKUP(A16 &amp; "*", PopulationTable[#All],2,FALSE), " ")</f>
        <v>62507</v>
      </c>
      <c r="H16" s="1">
        <f t="shared" si="1"/>
        <v>0.18602716495752475</v>
      </c>
      <c r="I16" s="1">
        <f t="shared" si="2"/>
        <v>1.1695906432748537E-2</v>
      </c>
      <c r="J16" s="2">
        <v>44599.837741343101</v>
      </c>
    </row>
    <row r="17" spans="1:10" hidden="1" x14ac:dyDescent="0.3">
      <c r="A17" s="1" t="s">
        <v>14</v>
      </c>
      <c r="B17" s="1" t="s">
        <v>96</v>
      </c>
      <c r="C17" s="1" t="str">
        <f t="shared" si="0"/>
        <v>Barry, Michigan</v>
      </c>
      <c r="D17" s="1" t="s">
        <v>7</v>
      </c>
      <c r="E17" s="1">
        <v>2229</v>
      </c>
      <c r="F17" s="1">
        <v>16</v>
      </c>
      <c r="G17" s="1">
        <f>_xlfn.IFNA(VLOOKUP(A17 &amp; "*", PopulationTable[#All],2,FALSE), " ")</f>
        <v>62507</v>
      </c>
      <c r="H17" s="1">
        <f t="shared" si="1"/>
        <v>3.5660006079319115E-2</v>
      </c>
      <c r="I17" s="1">
        <f t="shared" si="2"/>
        <v>7.1781067743382681E-3</v>
      </c>
      <c r="J17" s="2">
        <v>44599.837741343101</v>
      </c>
    </row>
    <row r="18" spans="1:10" x14ac:dyDescent="0.3">
      <c r="A18" s="1" t="s">
        <v>15</v>
      </c>
      <c r="B18" s="1" t="s">
        <v>96</v>
      </c>
      <c r="C18" s="1" t="str">
        <f t="shared" si="0"/>
        <v>Bay, Michigan</v>
      </c>
      <c r="D18" s="1" t="s">
        <v>6</v>
      </c>
      <c r="E18" s="1">
        <v>23575</v>
      </c>
      <c r="F18" s="1">
        <v>513</v>
      </c>
      <c r="G18" s="1">
        <f>_xlfn.IFNA(VLOOKUP(A18 &amp; "*", PopulationTable[#All],2,FALSE), " ")</f>
        <v>101398</v>
      </c>
      <c r="H18" s="1">
        <f t="shared" si="1"/>
        <v>0.23249965482553897</v>
      </c>
      <c r="I18" s="1">
        <f t="shared" si="2"/>
        <v>2.176033934252386E-2</v>
      </c>
      <c r="J18" s="2">
        <v>44599.837741354502</v>
      </c>
    </row>
    <row r="19" spans="1:10" hidden="1" x14ac:dyDescent="0.3">
      <c r="A19" s="1" t="s">
        <v>15</v>
      </c>
      <c r="B19" s="1" t="s">
        <v>96</v>
      </c>
      <c r="C19" s="1" t="str">
        <f t="shared" si="0"/>
        <v>Bay, Michigan</v>
      </c>
      <c r="D19" s="1" t="s">
        <v>7</v>
      </c>
      <c r="E19" s="1">
        <v>2584</v>
      </c>
      <c r="F19" s="1">
        <v>27</v>
      </c>
      <c r="G19" s="1">
        <f>_xlfn.IFNA(VLOOKUP(A19 &amp; "*", PopulationTable[#All],2,FALSE), " ")</f>
        <v>101398</v>
      </c>
      <c r="H19" s="1">
        <f t="shared" si="1"/>
        <v>2.5483737351821537E-2</v>
      </c>
      <c r="I19" s="1">
        <f t="shared" si="2"/>
        <v>1.044891640866873E-2</v>
      </c>
      <c r="J19" s="2">
        <v>44599.837741354502</v>
      </c>
    </row>
    <row r="20" spans="1:10" x14ac:dyDescent="0.3">
      <c r="A20" s="1" t="s">
        <v>16</v>
      </c>
      <c r="B20" s="1" t="s">
        <v>96</v>
      </c>
      <c r="C20" s="1" t="str">
        <f t="shared" si="0"/>
        <v>Benzie, Michigan</v>
      </c>
      <c r="D20" s="1" t="s">
        <v>6</v>
      </c>
      <c r="E20" s="1">
        <v>2343</v>
      </c>
      <c r="F20" s="1">
        <v>53</v>
      </c>
      <c r="G20" s="1">
        <f>_xlfn.IFNA(VLOOKUP(A20 &amp; "*", PopulationTable[#All],2,FALSE), " ")</f>
        <v>17781</v>
      </c>
      <c r="H20" s="1">
        <f t="shared" si="1"/>
        <v>0.13176986671165852</v>
      </c>
      <c r="I20" s="1">
        <f t="shared" si="2"/>
        <v>2.2620571916346564E-2</v>
      </c>
      <c r="J20" s="2">
        <v>44599.837741354502</v>
      </c>
    </row>
    <row r="21" spans="1:10" hidden="1" x14ac:dyDescent="0.3">
      <c r="A21" s="1" t="s">
        <v>16</v>
      </c>
      <c r="B21" s="1" t="s">
        <v>96</v>
      </c>
      <c r="C21" s="1" t="str">
        <f t="shared" si="0"/>
        <v>Benzie, Michigan</v>
      </c>
      <c r="D21" s="1" t="s">
        <v>7</v>
      </c>
      <c r="E21" s="1">
        <v>973</v>
      </c>
      <c r="F21" s="1">
        <v>8</v>
      </c>
      <c r="G21" s="1">
        <f>_xlfn.IFNA(VLOOKUP(A21 &amp; "*", PopulationTable[#All],2,FALSE), " ")</f>
        <v>17781</v>
      </c>
      <c r="H21" s="1">
        <f t="shared" si="1"/>
        <v>5.4721331758618749E-2</v>
      </c>
      <c r="I21" s="1">
        <f t="shared" si="2"/>
        <v>8.2219938335046251E-3</v>
      </c>
      <c r="J21" s="2">
        <v>44599.837741354502</v>
      </c>
    </row>
    <row r="22" spans="1:10" x14ac:dyDescent="0.3">
      <c r="A22" s="1" t="s">
        <v>17</v>
      </c>
      <c r="B22" s="1" t="s">
        <v>96</v>
      </c>
      <c r="C22" s="1" t="str">
        <f t="shared" si="0"/>
        <v>Berrien, Michigan</v>
      </c>
      <c r="D22" s="1" t="s">
        <v>6</v>
      </c>
      <c r="E22" s="1">
        <v>29871</v>
      </c>
      <c r="F22" s="1">
        <v>448</v>
      </c>
      <c r="G22" s="1">
        <f>_xlfn.IFNA(VLOOKUP(A22 &amp; "*", PopulationTable[#All],2,FALSE), " ")</f>
        <v>152234</v>
      </c>
      <c r="H22" s="1">
        <f t="shared" si="1"/>
        <v>0.19621766491059817</v>
      </c>
      <c r="I22" s="1">
        <f t="shared" si="2"/>
        <v>1.4997823976431991E-2</v>
      </c>
      <c r="J22" s="2">
        <v>44599.837741365998</v>
      </c>
    </row>
    <row r="23" spans="1:10" hidden="1" x14ac:dyDescent="0.3">
      <c r="A23" s="1" t="s">
        <v>17</v>
      </c>
      <c r="B23" s="1" t="s">
        <v>96</v>
      </c>
      <c r="C23" s="1" t="str">
        <f t="shared" si="0"/>
        <v>Berrien, Michigan</v>
      </c>
      <c r="D23" s="1" t="s">
        <v>7</v>
      </c>
      <c r="E23" s="1">
        <v>3923</v>
      </c>
      <c r="F23" s="1">
        <v>33</v>
      </c>
      <c r="G23" s="1">
        <f>_xlfn.IFNA(VLOOKUP(A23 &amp; "*", PopulationTable[#All],2,FALSE), " ")</f>
        <v>152234</v>
      </c>
      <c r="H23" s="1">
        <f t="shared" si="1"/>
        <v>2.5769538999172326E-2</v>
      </c>
      <c r="I23" s="1">
        <f t="shared" si="2"/>
        <v>8.4119296456793263E-3</v>
      </c>
      <c r="J23" s="2">
        <v>44599.837741365998</v>
      </c>
    </row>
    <row r="24" spans="1:10" x14ac:dyDescent="0.3">
      <c r="A24" s="1" t="s">
        <v>18</v>
      </c>
      <c r="B24" s="1" t="s">
        <v>96</v>
      </c>
      <c r="C24" s="1" t="str">
        <f t="shared" si="0"/>
        <v>Branch, Michigan</v>
      </c>
      <c r="D24" s="1" t="s">
        <v>6</v>
      </c>
      <c r="E24" s="1">
        <v>9701</v>
      </c>
      <c r="F24" s="1">
        <v>152</v>
      </c>
      <c r="G24" s="1">
        <f>_xlfn.IFNA(VLOOKUP(A24 &amp; "*", PopulationTable[#All],2,FALSE), " ")</f>
        <v>43370</v>
      </c>
      <c r="H24" s="1">
        <f t="shared" si="1"/>
        <v>0.22367996310813926</v>
      </c>
      <c r="I24" s="1">
        <f t="shared" si="2"/>
        <v>1.5668487784764457E-2</v>
      </c>
      <c r="J24" s="2">
        <v>44599.837741365998</v>
      </c>
    </row>
    <row r="25" spans="1:10" hidden="1" x14ac:dyDescent="0.3">
      <c r="A25" s="1" t="s">
        <v>18</v>
      </c>
      <c r="B25" s="1" t="s">
        <v>96</v>
      </c>
      <c r="C25" s="1" t="str">
        <f t="shared" si="0"/>
        <v>Branch, Michigan</v>
      </c>
      <c r="D25" s="1" t="s">
        <v>7</v>
      </c>
      <c r="E25" s="1">
        <v>1329</v>
      </c>
      <c r="F25" s="1">
        <v>8</v>
      </c>
      <c r="G25" s="1">
        <f>_xlfn.IFNA(VLOOKUP(A25 &amp; "*", PopulationTable[#All],2,FALSE), " ")</f>
        <v>43370</v>
      </c>
      <c r="H25" s="1">
        <f t="shared" si="1"/>
        <v>3.0643301821535622E-2</v>
      </c>
      <c r="I25" s="1">
        <f t="shared" si="2"/>
        <v>6.0195635816403309E-3</v>
      </c>
      <c r="J25" s="2">
        <v>44599.837741365998</v>
      </c>
    </row>
    <row r="26" spans="1:10" x14ac:dyDescent="0.3">
      <c r="A26" s="1" t="s">
        <v>19</v>
      </c>
      <c r="B26" s="1" t="s">
        <v>96</v>
      </c>
      <c r="C26" s="1" t="str">
        <f t="shared" si="0"/>
        <v>Calhoun, Michigan</v>
      </c>
      <c r="D26" s="1" t="s">
        <v>6</v>
      </c>
      <c r="E26" s="1">
        <v>27622</v>
      </c>
      <c r="F26" s="1">
        <v>501</v>
      </c>
      <c r="G26" s="1">
        <f>_xlfn.IFNA(VLOOKUP(A26 &amp; "*", PopulationTable[#All],2,FALSE), " ")</f>
        <v>134489</v>
      </c>
      <c r="H26" s="1">
        <f t="shared" si="1"/>
        <v>0.20538482701187458</v>
      </c>
      <c r="I26" s="1">
        <f t="shared" si="2"/>
        <v>1.8137716313083772E-2</v>
      </c>
      <c r="J26" s="2">
        <v>44599.837741377502</v>
      </c>
    </row>
    <row r="27" spans="1:10" hidden="1" x14ac:dyDescent="0.3">
      <c r="A27" s="1" t="s">
        <v>19</v>
      </c>
      <c r="B27" s="1" t="s">
        <v>96</v>
      </c>
      <c r="C27" s="1" t="str">
        <f t="shared" si="0"/>
        <v>Calhoun, Michigan</v>
      </c>
      <c r="D27" s="1" t="s">
        <v>7</v>
      </c>
      <c r="E27" s="1">
        <v>5196</v>
      </c>
      <c r="F27" s="1">
        <v>28</v>
      </c>
      <c r="G27" s="1">
        <f>_xlfn.IFNA(VLOOKUP(A27 &amp; "*", PopulationTable[#All],2,FALSE), " ")</f>
        <v>134489</v>
      </c>
      <c r="H27" s="1">
        <f t="shared" si="1"/>
        <v>3.8635130010632839E-2</v>
      </c>
      <c r="I27" s="1">
        <f t="shared" si="2"/>
        <v>5.3887605850654347E-3</v>
      </c>
      <c r="J27" s="2">
        <v>44599.837741377502</v>
      </c>
    </row>
    <row r="28" spans="1:10" x14ac:dyDescent="0.3">
      <c r="A28" s="1" t="s">
        <v>20</v>
      </c>
      <c r="B28" s="1" t="s">
        <v>96</v>
      </c>
      <c r="C28" s="1" t="str">
        <f t="shared" si="0"/>
        <v>Cass, Michigan</v>
      </c>
      <c r="D28" s="1" t="s">
        <v>6</v>
      </c>
      <c r="E28" s="1">
        <v>9057</v>
      </c>
      <c r="F28" s="1">
        <v>115</v>
      </c>
      <c r="G28" s="1">
        <f>_xlfn.IFNA(VLOOKUP(A28 &amp; "*", PopulationTable[#All],2,FALSE), " ")</f>
        <v>51973</v>
      </c>
      <c r="H28" s="1">
        <f t="shared" si="1"/>
        <v>0.17426355992534584</v>
      </c>
      <c r="I28" s="1">
        <f t="shared" si="2"/>
        <v>1.2697361157116043E-2</v>
      </c>
      <c r="J28" s="2">
        <v>44599.837741377502</v>
      </c>
    </row>
    <row r="29" spans="1:10" hidden="1" x14ac:dyDescent="0.3">
      <c r="A29" s="1" t="s">
        <v>20</v>
      </c>
      <c r="B29" s="1" t="s">
        <v>96</v>
      </c>
      <c r="C29" s="1" t="str">
        <f t="shared" si="0"/>
        <v>Cass, Michigan</v>
      </c>
      <c r="D29" s="1" t="s">
        <v>7</v>
      </c>
      <c r="E29" s="1">
        <v>1788</v>
      </c>
      <c r="F29" s="1">
        <v>9</v>
      </c>
      <c r="G29" s="1">
        <f>_xlfn.IFNA(VLOOKUP(A29 &amp; "*", PopulationTable[#All],2,FALSE), " ")</f>
        <v>51973</v>
      </c>
      <c r="H29" s="1">
        <f t="shared" si="1"/>
        <v>3.4402478209839722E-2</v>
      </c>
      <c r="I29" s="1">
        <f t="shared" si="2"/>
        <v>5.0335570469798654E-3</v>
      </c>
      <c r="J29" s="2">
        <v>44599.837741377502</v>
      </c>
    </row>
    <row r="30" spans="1:10" x14ac:dyDescent="0.3">
      <c r="A30" s="1" t="s">
        <v>21</v>
      </c>
      <c r="B30" s="1" t="s">
        <v>96</v>
      </c>
      <c r="C30" s="1" t="str">
        <f t="shared" si="0"/>
        <v>Charlevoix, Michigan</v>
      </c>
      <c r="D30" s="1" t="s">
        <v>6</v>
      </c>
      <c r="E30" s="1">
        <v>2906</v>
      </c>
      <c r="F30" s="1">
        <v>45</v>
      </c>
      <c r="G30" s="1">
        <f>_xlfn.IFNA(VLOOKUP(A30 &amp; "*", PopulationTable[#All],2,FALSE), " ")</f>
        <v>26011</v>
      </c>
      <c r="H30" s="1">
        <f t="shared" si="1"/>
        <v>0.11172196378455269</v>
      </c>
      <c r="I30" s="1">
        <f t="shared" si="2"/>
        <v>1.5485203028217482E-2</v>
      </c>
      <c r="J30" s="2">
        <v>44599.837741377502</v>
      </c>
    </row>
    <row r="31" spans="1:10" hidden="1" x14ac:dyDescent="0.3">
      <c r="A31" s="1" t="s">
        <v>21</v>
      </c>
      <c r="B31" s="1" t="s">
        <v>96</v>
      </c>
      <c r="C31" s="1" t="str">
        <f t="shared" si="0"/>
        <v>Charlevoix, Michigan</v>
      </c>
      <c r="D31" s="1" t="s">
        <v>7</v>
      </c>
      <c r="E31" s="1">
        <v>1862</v>
      </c>
      <c r="F31" s="1">
        <v>11</v>
      </c>
      <c r="G31" s="1">
        <f>_xlfn.IFNA(VLOOKUP(A31 &amp; "*", PopulationTable[#All],2,FALSE), " ")</f>
        <v>26011</v>
      </c>
      <c r="H31" s="1">
        <f t="shared" si="1"/>
        <v>7.1585098612125642E-2</v>
      </c>
      <c r="I31" s="1">
        <f t="shared" si="2"/>
        <v>5.9076262083780882E-3</v>
      </c>
      <c r="J31" s="2">
        <v>44599.837741377502</v>
      </c>
    </row>
    <row r="32" spans="1:10" x14ac:dyDescent="0.3">
      <c r="A32" s="1" t="s">
        <v>22</v>
      </c>
      <c r="B32" s="1" t="s">
        <v>96</v>
      </c>
      <c r="C32" s="1" t="str">
        <f t="shared" si="0"/>
        <v>Cheboygan, Michigan</v>
      </c>
      <c r="D32" s="1" t="s">
        <v>6</v>
      </c>
      <c r="E32" s="1">
        <v>3158</v>
      </c>
      <c r="F32" s="1">
        <v>86</v>
      </c>
      <c r="G32" s="1">
        <f>_xlfn.IFNA(VLOOKUP(A32 &amp; "*", PopulationTable[#All],2,FALSE), " ")</f>
        <v>24592</v>
      </c>
      <c r="H32" s="1">
        <f t="shared" si="1"/>
        <v>0.12841574495770983</v>
      </c>
      <c r="I32" s="1">
        <f t="shared" si="2"/>
        <v>2.7232425585813805E-2</v>
      </c>
      <c r="J32" s="2">
        <v>44599.837741389099</v>
      </c>
    </row>
    <row r="33" spans="1:10" hidden="1" x14ac:dyDescent="0.3">
      <c r="A33" s="1" t="s">
        <v>22</v>
      </c>
      <c r="B33" s="1" t="s">
        <v>96</v>
      </c>
      <c r="C33" s="1" t="str">
        <f t="shared" si="0"/>
        <v>Cheboygan, Michigan</v>
      </c>
      <c r="D33" s="1" t="s">
        <v>7</v>
      </c>
      <c r="E33" s="1">
        <v>1297</v>
      </c>
      <c r="F33" s="1">
        <v>5</v>
      </c>
      <c r="G33" s="1">
        <f>_xlfn.IFNA(VLOOKUP(A33 &amp; "*", PopulationTable[#All],2,FALSE), " ")</f>
        <v>24592</v>
      </c>
      <c r="H33" s="1">
        <f t="shared" si="1"/>
        <v>5.2740728692257648E-2</v>
      </c>
      <c r="I33" s="1">
        <f t="shared" si="2"/>
        <v>3.8550501156515036E-3</v>
      </c>
      <c r="J33" s="2">
        <v>44599.837741389099</v>
      </c>
    </row>
    <row r="34" spans="1:10" x14ac:dyDescent="0.3">
      <c r="A34" s="1" t="s">
        <v>23</v>
      </c>
      <c r="B34" s="1" t="s">
        <v>96</v>
      </c>
      <c r="C34" s="1" t="str">
        <f t="shared" si="0"/>
        <v>Chippewa, Michigan</v>
      </c>
      <c r="D34" s="1" t="s">
        <v>6</v>
      </c>
      <c r="E34" s="1">
        <v>3187</v>
      </c>
      <c r="F34" s="1">
        <v>72</v>
      </c>
      <c r="G34" s="1">
        <f>_xlfn.IFNA(VLOOKUP(A34 &amp; "*", PopulationTable[#All],2,FALSE), " ")</f>
        <v>37013</v>
      </c>
      <c r="H34" s="1">
        <f t="shared" si="1"/>
        <v>8.6104882068462438E-2</v>
      </c>
      <c r="I34" s="1">
        <f t="shared" si="2"/>
        <v>2.2591779102604331E-2</v>
      </c>
      <c r="J34" s="2">
        <v>44599.837741389099</v>
      </c>
    </row>
    <row r="35" spans="1:10" hidden="1" x14ac:dyDescent="0.3">
      <c r="A35" s="1" t="s">
        <v>23</v>
      </c>
      <c r="B35" s="1" t="s">
        <v>96</v>
      </c>
      <c r="C35" s="1" t="str">
        <f t="shared" si="0"/>
        <v>Chippewa, Michigan</v>
      </c>
      <c r="D35" s="1" t="s">
        <v>7</v>
      </c>
      <c r="E35" s="1">
        <v>4792</v>
      </c>
      <c r="F35" s="1">
        <v>14</v>
      </c>
      <c r="G35" s="1">
        <f>_xlfn.IFNA(VLOOKUP(A35 &amp; "*", PopulationTable[#All],2,FALSE), " ")</f>
        <v>37013</v>
      </c>
      <c r="H35" s="1">
        <f t="shared" si="1"/>
        <v>0.12946802474806149</v>
      </c>
      <c r="I35" s="1">
        <f t="shared" si="2"/>
        <v>2.9215358931552588E-3</v>
      </c>
      <c r="J35" s="2">
        <v>44599.837741389099</v>
      </c>
    </row>
    <row r="36" spans="1:10" x14ac:dyDescent="0.3">
      <c r="A36" s="1" t="s">
        <v>24</v>
      </c>
      <c r="B36" s="1" t="s">
        <v>96</v>
      </c>
      <c r="C36" s="1" t="str">
        <f t="shared" si="0"/>
        <v>Clare, Michigan</v>
      </c>
      <c r="D36" s="1" t="s">
        <v>6</v>
      </c>
      <c r="E36" s="1">
        <v>5584</v>
      </c>
      <c r="F36" s="1">
        <v>145</v>
      </c>
      <c r="G36" s="1">
        <f>_xlfn.IFNA(VLOOKUP(A36 &amp; "*", PopulationTable[#All],2,FALSE), " ")</f>
        <v>31595</v>
      </c>
      <c r="H36" s="1">
        <f t="shared" si="1"/>
        <v>0.1767368254470644</v>
      </c>
      <c r="I36" s="1">
        <f t="shared" si="2"/>
        <v>2.5967048710601719E-2</v>
      </c>
      <c r="J36" s="2">
        <v>44599.837741389099</v>
      </c>
    </row>
    <row r="37" spans="1:10" hidden="1" x14ac:dyDescent="0.3">
      <c r="A37" s="1" t="s">
        <v>24</v>
      </c>
      <c r="B37" s="1" t="s">
        <v>96</v>
      </c>
      <c r="C37" s="1" t="str">
        <f t="shared" si="0"/>
        <v>Clare, Michigan</v>
      </c>
      <c r="D37" s="1" t="s">
        <v>7</v>
      </c>
      <c r="E37" s="1">
        <v>907</v>
      </c>
      <c r="F37" s="1">
        <v>4</v>
      </c>
      <c r="G37" s="1">
        <f>_xlfn.IFNA(VLOOKUP(A37 &amp; "*", PopulationTable[#All],2,FALSE), " ")</f>
        <v>31595</v>
      </c>
      <c r="H37" s="1">
        <f t="shared" si="1"/>
        <v>2.870707390409875E-2</v>
      </c>
      <c r="I37" s="1">
        <f t="shared" si="2"/>
        <v>4.410143329658214E-3</v>
      </c>
      <c r="J37" s="2">
        <v>44599.837741389099</v>
      </c>
    </row>
    <row r="38" spans="1:10" x14ac:dyDescent="0.3">
      <c r="A38" s="1" t="s">
        <v>25</v>
      </c>
      <c r="B38" s="1" t="s">
        <v>96</v>
      </c>
      <c r="C38" s="1" t="str">
        <f t="shared" si="0"/>
        <v>Clinton, Michigan</v>
      </c>
      <c r="D38" s="1" t="s">
        <v>6</v>
      </c>
      <c r="E38" s="1">
        <v>13165</v>
      </c>
      <c r="F38" s="1">
        <v>176</v>
      </c>
      <c r="G38" s="1">
        <f>_xlfn.IFNA(VLOOKUP(A38 &amp; "*", PopulationTable[#All],2,FALSE), " ")</f>
        <v>80723</v>
      </c>
      <c r="H38" s="1">
        <f t="shared" si="1"/>
        <v>0.16308858689592806</v>
      </c>
      <c r="I38" s="1">
        <f t="shared" si="2"/>
        <v>1.3368780858336498E-2</v>
      </c>
      <c r="J38" s="2">
        <v>44599.837741389099</v>
      </c>
    </row>
    <row r="39" spans="1:10" hidden="1" x14ac:dyDescent="0.3">
      <c r="A39" s="1" t="s">
        <v>25</v>
      </c>
      <c r="B39" s="1" t="s">
        <v>96</v>
      </c>
      <c r="C39" s="1" t="str">
        <f t="shared" si="0"/>
        <v>Clinton, Michigan</v>
      </c>
      <c r="D39" s="1" t="s">
        <v>7</v>
      </c>
      <c r="E39" s="1">
        <v>6824</v>
      </c>
      <c r="F39" s="1">
        <v>12</v>
      </c>
      <c r="G39" s="1">
        <f>_xlfn.IFNA(VLOOKUP(A39 &amp; "*", PopulationTable[#All],2,FALSE), " ")</f>
        <v>80723</v>
      </c>
      <c r="H39" s="1">
        <f t="shared" si="1"/>
        <v>8.4536005847156329E-2</v>
      </c>
      <c r="I39" s="1">
        <f t="shared" si="2"/>
        <v>1.7584994138335288E-3</v>
      </c>
      <c r="J39" s="2">
        <v>44599.837741389099</v>
      </c>
    </row>
    <row r="40" spans="1:10" x14ac:dyDescent="0.3">
      <c r="A40" s="1" t="s">
        <v>26</v>
      </c>
      <c r="B40" s="1" t="s">
        <v>96</v>
      </c>
      <c r="C40" s="1" t="str">
        <f t="shared" si="0"/>
        <v>Crawford, Michigan</v>
      </c>
      <c r="D40" s="1" t="s">
        <v>6</v>
      </c>
      <c r="E40" s="1">
        <v>2050</v>
      </c>
      <c r="F40" s="1">
        <v>24</v>
      </c>
      <c r="G40" s="1">
        <f>_xlfn.IFNA(VLOOKUP(A40 &amp; "*", PopulationTable[#All],2,FALSE), " ")</f>
        <v>14401</v>
      </c>
      <c r="H40" s="1">
        <f t="shared" si="1"/>
        <v>0.14235122560933269</v>
      </c>
      <c r="I40" s="1">
        <f t="shared" si="2"/>
        <v>1.1707317073170732E-2</v>
      </c>
      <c r="J40" s="2">
        <v>44599.837741400603</v>
      </c>
    </row>
    <row r="41" spans="1:10" hidden="1" x14ac:dyDescent="0.3">
      <c r="A41" s="1" t="s">
        <v>26</v>
      </c>
      <c r="B41" s="1" t="s">
        <v>96</v>
      </c>
      <c r="C41" s="1" t="str">
        <f t="shared" si="0"/>
        <v>Crawford, Michigan</v>
      </c>
      <c r="D41" s="1" t="s">
        <v>7</v>
      </c>
      <c r="E41" s="1">
        <v>379</v>
      </c>
      <c r="F41" s="1">
        <v>0</v>
      </c>
      <c r="G41" s="1">
        <f>_xlfn.IFNA(VLOOKUP(A41 &amp; "*", PopulationTable[#All],2,FALSE), " ")</f>
        <v>14401</v>
      </c>
      <c r="H41" s="1">
        <f t="shared" si="1"/>
        <v>2.6317616832164433E-2</v>
      </c>
      <c r="I41" s="1">
        <f t="shared" si="2"/>
        <v>0</v>
      </c>
      <c r="J41" s="2">
        <v>44599.837741400603</v>
      </c>
    </row>
    <row r="42" spans="1:10" x14ac:dyDescent="0.3">
      <c r="A42" s="1" t="s">
        <v>27</v>
      </c>
      <c r="B42" s="1" t="s">
        <v>96</v>
      </c>
      <c r="C42" s="1" t="str">
        <f t="shared" si="0"/>
        <v>Delta, Michigan</v>
      </c>
      <c r="D42" s="1" t="s">
        <v>6</v>
      </c>
      <c r="E42" s="1">
        <v>7655</v>
      </c>
      <c r="F42" s="1">
        <v>123</v>
      </c>
      <c r="G42" s="1">
        <f>_xlfn.IFNA(VLOOKUP(A42 &amp; "*", PopulationTable[#All],2,FALSE), " ")</f>
        <v>35607</v>
      </c>
      <c r="H42" s="1">
        <f t="shared" si="1"/>
        <v>0.21498581739545594</v>
      </c>
      <c r="I42" s="1">
        <f t="shared" si="2"/>
        <v>1.6067929457870674E-2</v>
      </c>
      <c r="J42" s="2">
        <v>44599.837741400603</v>
      </c>
    </row>
    <row r="43" spans="1:10" hidden="1" x14ac:dyDescent="0.3">
      <c r="A43" s="1" t="s">
        <v>27</v>
      </c>
      <c r="B43" s="1" t="s">
        <v>96</v>
      </c>
      <c r="C43" s="1" t="str">
        <f t="shared" si="0"/>
        <v>Delta, Michigan</v>
      </c>
      <c r="D43" s="1" t="s">
        <v>7</v>
      </c>
      <c r="E43" s="1">
        <v>1970</v>
      </c>
      <c r="F43" s="1">
        <v>25</v>
      </c>
      <c r="G43" s="1">
        <f>_xlfn.IFNA(VLOOKUP(A43 &amp; "*", PopulationTable[#All],2,FALSE), " ")</f>
        <v>35607</v>
      </c>
      <c r="H43" s="1">
        <f t="shared" si="1"/>
        <v>5.5326199904513158E-2</v>
      </c>
      <c r="I43" s="1">
        <f t="shared" si="2"/>
        <v>1.2690355329949238E-2</v>
      </c>
      <c r="J43" s="2">
        <v>44599.837741400603</v>
      </c>
    </row>
    <row r="44" spans="1:10" x14ac:dyDescent="0.3">
      <c r="A44" s="1" t="s">
        <v>28</v>
      </c>
      <c r="B44" s="1" t="s">
        <v>96</v>
      </c>
      <c r="C44" s="1" t="str">
        <f t="shared" si="0"/>
        <v>Detroit City, Michigan</v>
      </c>
      <c r="D44" s="1" t="s">
        <v>6</v>
      </c>
      <c r="E44" s="1">
        <v>120857</v>
      </c>
      <c r="F44" s="1">
        <v>3055</v>
      </c>
      <c r="G44" s="1" t="str">
        <f>_xlfn.IFNA(VLOOKUP(A44 &amp; "*", PopulationTable[#All],2,FALSE), " ")</f>
        <v xml:space="preserve"> </v>
      </c>
      <c r="H44" s="1" t="str">
        <f t="shared" si="1"/>
        <v xml:space="preserve"> </v>
      </c>
      <c r="I44" s="1">
        <f t="shared" si="2"/>
        <v>2.5277807656983047E-2</v>
      </c>
      <c r="J44" s="2">
        <v>44599.837741423697</v>
      </c>
    </row>
    <row r="45" spans="1:10" hidden="1" x14ac:dyDescent="0.3">
      <c r="A45" s="1" t="s">
        <v>28</v>
      </c>
      <c r="B45" s="1" t="s">
        <v>96</v>
      </c>
      <c r="C45" s="1" t="str">
        <f t="shared" si="0"/>
        <v>Detroit City, Michigan</v>
      </c>
      <c r="D45" s="1" t="s">
        <v>7</v>
      </c>
      <c r="E45" s="1">
        <v>7633</v>
      </c>
      <c r="F45" s="1">
        <v>182</v>
      </c>
      <c r="G45" s="1" t="str">
        <f>_xlfn.IFNA(VLOOKUP(A45 &amp; "*", PopulationTable[#All],2,FALSE), " ")</f>
        <v xml:space="preserve"> </v>
      </c>
      <c r="H45" s="1" t="str">
        <f t="shared" si="1"/>
        <v xml:space="preserve"> </v>
      </c>
      <c r="I45" s="1">
        <f t="shared" si="2"/>
        <v>2.3843835975370105E-2</v>
      </c>
      <c r="J45" s="2">
        <v>44599.8377414352</v>
      </c>
    </row>
    <row r="46" spans="1:10" x14ac:dyDescent="0.3">
      <c r="A46" s="1" t="s">
        <v>29</v>
      </c>
      <c r="B46" s="1" t="s">
        <v>96</v>
      </c>
      <c r="C46" s="1" t="str">
        <f t="shared" si="0"/>
        <v>Dickinson, Michigan</v>
      </c>
      <c r="D46" s="1" t="s">
        <v>6</v>
      </c>
      <c r="E46" s="1">
        <v>4862</v>
      </c>
      <c r="F46" s="1">
        <v>82</v>
      </c>
      <c r="G46" s="1">
        <f>_xlfn.IFNA(VLOOKUP(A46 &amp; "*", PopulationTable[#All],2,FALSE), " ")</f>
        <v>24843</v>
      </c>
      <c r="H46" s="1">
        <f t="shared" si="1"/>
        <v>0.19570905285190998</v>
      </c>
      <c r="I46" s="1">
        <f t="shared" si="2"/>
        <v>1.6865487453722749E-2</v>
      </c>
      <c r="J46" s="2">
        <v>44599.8377414352</v>
      </c>
    </row>
    <row r="47" spans="1:10" hidden="1" x14ac:dyDescent="0.3">
      <c r="A47" s="1" t="s">
        <v>29</v>
      </c>
      <c r="B47" s="1" t="s">
        <v>96</v>
      </c>
      <c r="C47" s="1" t="str">
        <f t="shared" si="0"/>
        <v>Dickinson, Michigan</v>
      </c>
      <c r="D47" s="1" t="s">
        <v>7</v>
      </c>
      <c r="E47" s="1">
        <v>2315</v>
      </c>
      <c r="F47" s="1">
        <v>19</v>
      </c>
      <c r="G47" s="1">
        <f>_xlfn.IFNA(VLOOKUP(A47 &amp; "*", PopulationTable[#All],2,FALSE), " ")</f>
        <v>24843</v>
      </c>
      <c r="H47" s="1">
        <f t="shared" si="1"/>
        <v>9.3185203075312972E-2</v>
      </c>
      <c r="I47" s="1">
        <f t="shared" si="2"/>
        <v>8.2073434125269976E-3</v>
      </c>
      <c r="J47" s="2">
        <v>44599.8377414352</v>
      </c>
    </row>
    <row r="48" spans="1:10" x14ac:dyDescent="0.3">
      <c r="A48" s="1" t="s">
        <v>30</v>
      </c>
      <c r="B48" s="1" t="s">
        <v>96</v>
      </c>
      <c r="C48" s="1" t="str">
        <f t="shared" si="0"/>
        <v>Eaton, Michigan</v>
      </c>
      <c r="D48" s="1" t="s">
        <v>6</v>
      </c>
      <c r="E48" s="1">
        <v>21413</v>
      </c>
      <c r="F48" s="1">
        <v>342</v>
      </c>
      <c r="G48" s="1">
        <f>_xlfn.IFNA(VLOOKUP(A48 &amp; "*", PopulationTable[#All],2,FALSE), " ")</f>
        <v>111942</v>
      </c>
      <c r="H48" s="1">
        <f t="shared" si="1"/>
        <v>0.19128655911096817</v>
      </c>
      <c r="I48" s="1">
        <f t="shared" si="2"/>
        <v>1.5971606033717833E-2</v>
      </c>
      <c r="J48" s="2">
        <v>44599.8377414352</v>
      </c>
    </row>
    <row r="49" spans="1:10" hidden="1" x14ac:dyDescent="0.3">
      <c r="A49" s="1" t="s">
        <v>30</v>
      </c>
      <c r="B49" s="1" t="s">
        <v>96</v>
      </c>
      <c r="C49" s="1" t="str">
        <f t="shared" si="0"/>
        <v>Eaton, Michigan</v>
      </c>
      <c r="D49" s="1" t="s">
        <v>7</v>
      </c>
      <c r="E49" s="1">
        <v>4209</v>
      </c>
      <c r="F49" s="1">
        <v>21</v>
      </c>
      <c r="G49" s="1">
        <f>_xlfn.IFNA(VLOOKUP(A49 &amp; "*", PopulationTable[#All],2,FALSE), " ")</f>
        <v>111942</v>
      </c>
      <c r="H49" s="1">
        <f t="shared" si="1"/>
        <v>3.7599828482607067E-2</v>
      </c>
      <c r="I49" s="1">
        <f t="shared" si="2"/>
        <v>4.9893086243763367E-3</v>
      </c>
      <c r="J49" s="2">
        <v>44599.8377414352</v>
      </c>
    </row>
    <row r="50" spans="1:10" x14ac:dyDescent="0.3">
      <c r="A50" s="1" t="s">
        <v>31</v>
      </c>
      <c r="B50" s="1" t="s">
        <v>96</v>
      </c>
      <c r="C50" s="1" t="str">
        <f t="shared" si="0"/>
        <v>Emmet, Michigan</v>
      </c>
      <c r="D50" s="1" t="s">
        <v>6</v>
      </c>
      <c r="E50" s="1">
        <v>4050</v>
      </c>
      <c r="F50" s="1">
        <v>65</v>
      </c>
      <c r="G50" s="1">
        <f>_xlfn.IFNA(VLOOKUP(A50 &amp; "*", PopulationTable[#All],2,FALSE), " ")</f>
        <v>33985</v>
      </c>
      <c r="H50" s="1">
        <f t="shared" si="1"/>
        <v>0.1191702221568339</v>
      </c>
      <c r="I50" s="1">
        <f t="shared" si="2"/>
        <v>1.6049382716049384E-2</v>
      </c>
      <c r="J50" s="2">
        <v>44599.837741446703</v>
      </c>
    </row>
    <row r="51" spans="1:10" hidden="1" x14ac:dyDescent="0.3">
      <c r="A51" s="1" t="s">
        <v>31</v>
      </c>
      <c r="B51" s="1" t="s">
        <v>96</v>
      </c>
      <c r="C51" s="1" t="str">
        <f t="shared" si="0"/>
        <v>Emmet, Michigan</v>
      </c>
      <c r="D51" s="1" t="s">
        <v>7</v>
      </c>
      <c r="E51" s="1">
        <v>2148</v>
      </c>
      <c r="F51" s="1">
        <v>5</v>
      </c>
      <c r="G51" s="1">
        <f>_xlfn.IFNA(VLOOKUP(A51 &amp; "*", PopulationTable[#All],2,FALSE), " ")</f>
        <v>33985</v>
      </c>
      <c r="H51" s="1">
        <f t="shared" si="1"/>
        <v>6.3204354862439305E-2</v>
      </c>
      <c r="I51" s="1">
        <f t="shared" si="2"/>
        <v>2.3277467411545625E-3</v>
      </c>
      <c r="J51" s="2">
        <v>44599.837741446703</v>
      </c>
    </row>
    <row r="52" spans="1:10" x14ac:dyDescent="0.3">
      <c r="A52" s="1" t="s">
        <v>32</v>
      </c>
      <c r="B52" s="1" t="s">
        <v>96</v>
      </c>
      <c r="C52" s="1" t="str">
        <f t="shared" si="0"/>
        <v>FCI, Michigan</v>
      </c>
      <c r="D52" s="1" t="s">
        <v>6</v>
      </c>
      <c r="E52" s="1">
        <v>319</v>
      </c>
      <c r="F52" s="1">
        <v>5</v>
      </c>
      <c r="G52" s="1" t="str">
        <f>_xlfn.IFNA(VLOOKUP(A52 &amp; "*", PopulationTable[#All],2,FALSE), " ")</f>
        <v xml:space="preserve"> </v>
      </c>
      <c r="H52" s="1" t="str">
        <f t="shared" si="1"/>
        <v xml:space="preserve"> </v>
      </c>
      <c r="I52" s="1">
        <f t="shared" si="2"/>
        <v>1.5673981191222569E-2</v>
      </c>
      <c r="J52" s="2">
        <v>44599.837741446703</v>
      </c>
    </row>
    <row r="53" spans="1:10" hidden="1" x14ac:dyDescent="0.3">
      <c r="A53" s="1" t="s">
        <v>32</v>
      </c>
      <c r="B53" s="1" t="s">
        <v>96</v>
      </c>
      <c r="C53" s="1" t="str">
        <f t="shared" si="0"/>
        <v>FCI, Michigan</v>
      </c>
      <c r="D53" s="1" t="s">
        <v>7</v>
      </c>
      <c r="E53" s="1">
        <v>5</v>
      </c>
      <c r="F53" s="1">
        <v>0</v>
      </c>
      <c r="G53" s="1" t="str">
        <f>_xlfn.IFNA(VLOOKUP(A53 &amp; "*", PopulationTable[#All],2,FALSE), " ")</f>
        <v xml:space="preserve"> </v>
      </c>
      <c r="H53" s="1" t="str">
        <f t="shared" si="1"/>
        <v xml:space="preserve"> </v>
      </c>
      <c r="I53" s="1">
        <f t="shared" si="2"/>
        <v>0</v>
      </c>
      <c r="J53" s="2">
        <v>44599.837741446703</v>
      </c>
    </row>
    <row r="54" spans="1:10" x14ac:dyDescent="0.3">
      <c r="A54" s="1" t="s">
        <v>33</v>
      </c>
      <c r="B54" s="1" t="s">
        <v>96</v>
      </c>
      <c r="C54" s="1" t="str">
        <f t="shared" si="0"/>
        <v>Genesee, Michigan</v>
      </c>
      <c r="D54" s="1" t="s">
        <v>6</v>
      </c>
      <c r="E54" s="1">
        <v>74127</v>
      </c>
      <c r="F54" s="1">
        <v>1419</v>
      </c>
      <c r="G54" s="1">
        <f>_xlfn.IFNA(VLOOKUP(A54 &amp; "*", PopulationTable[#All],2,FALSE), " ")</f>
        <v>403188</v>
      </c>
      <c r="H54" s="1">
        <f t="shared" si="1"/>
        <v>0.1838521979820828</v>
      </c>
      <c r="I54" s="1">
        <f t="shared" si="2"/>
        <v>1.9142822453357078E-2</v>
      </c>
      <c r="J54" s="2">
        <v>44599.837741458199</v>
      </c>
    </row>
    <row r="55" spans="1:10" hidden="1" x14ac:dyDescent="0.3">
      <c r="A55" s="1" t="s">
        <v>33</v>
      </c>
      <c r="B55" s="1" t="s">
        <v>96</v>
      </c>
      <c r="C55" s="1" t="str">
        <f t="shared" si="0"/>
        <v>Genesee, Michigan</v>
      </c>
      <c r="D55" s="1" t="s">
        <v>7</v>
      </c>
      <c r="E55" s="1">
        <v>23637</v>
      </c>
      <c r="F55" s="1">
        <v>137</v>
      </c>
      <c r="G55" s="1">
        <f>_xlfn.IFNA(VLOOKUP(A55 &amp; "*", PopulationTable[#All],2,FALSE), " ")</f>
        <v>403188</v>
      </c>
      <c r="H55" s="1">
        <f t="shared" si="1"/>
        <v>5.8625256704068575E-2</v>
      </c>
      <c r="I55" s="1">
        <f t="shared" si="2"/>
        <v>5.7959978000592296E-3</v>
      </c>
      <c r="J55" s="2">
        <v>44599.837741469899</v>
      </c>
    </row>
    <row r="56" spans="1:10" x14ac:dyDescent="0.3">
      <c r="A56" s="1" t="s">
        <v>34</v>
      </c>
      <c r="B56" s="1" t="s">
        <v>96</v>
      </c>
      <c r="C56" s="1" t="str">
        <f t="shared" si="0"/>
        <v>Gladwin, Michigan</v>
      </c>
      <c r="D56" s="1" t="s">
        <v>6</v>
      </c>
      <c r="E56" s="1">
        <v>4597</v>
      </c>
      <c r="F56" s="1">
        <v>101</v>
      </c>
      <c r="G56" s="1">
        <f>_xlfn.IFNA(VLOOKUP(A56 &amp; "*", PopulationTable[#All],2,FALSE), " ")</f>
        <v>25818</v>
      </c>
      <c r="H56" s="1">
        <f t="shared" si="1"/>
        <v>0.17805407080331551</v>
      </c>
      <c r="I56" s="1">
        <f t="shared" si="2"/>
        <v>2.1970850554709594E-2</v>
      </c>
      <c r="J56" s="2">
        <v>44599.837741469899</v>
      </c>
    </row>
    <row r="57" spans="1:10" hidden="1" x14ac:dyDescent="0.3">
      <c r="A57" s="1" t="s">
        <v>34</v>
      </c>
      <c r="B57" s="1" t="s">
        <v>96</v>
      </c>
      <c r="C57" s="1" t="str">
        <f t="shared" si="0"/>
        <v>Gladwin, Michigan</v>
      </c>
      <c r="D57" s="1" t="s">
        <v>7</v>
      </c>
      <c r="E57" s="1">
        <v>799</v>
      </c>
      <c r="F57" s="1">
        <v>4</v>
      </c>
      <c r="G57" s="1">
        <f>_xlfn.IFNA(VLOOKUP(A57 &amp; "*", PopulationTable[#All],2,FALSE), " ")</f>
        <v>25818</v>
      </c>
      <c r="H57" s="1">
        <f t="shared" si="1"/>
        <v>3.094740103803548E-2</v>
      </c>
      <c r="I57" s="1">
        <f t="shared" si="2"/>
        <v>5.0062578222778474E-3</v>
      </c>
      <c r="J57" s="2">
        <v>44599.837741469899</v>
      </c>
    </row>
    <row r="58" spans="1:10" x14ac:dyDescent="0.3">
      <c r="A58" s="1" t="s">
        <v>35</v>
      </c>
      <c r="B58" s="1" t="s">
        <v>96</v>
      </c>
      <c r="C58" s="1" t="str">
        <f t="shared" si="0"/>
        <v>Gogebic, Michigan</v>
      </c>
      <c r="D58" s="1" t="s">
        <v>6</v>
      </c>
      <c r="E58" s="1">
        <v>2648</v>
      </c>
      <c r="F58" s="1">
        <v>36</v>
      </c>
      <c r="G58" s="1">
        <f>_xlfn.IFNA(VLOOKUP(A58 &amp; "*", PopulationTable[#All],2,FALSE), " ")</f>
        <v>10552</v>
      </c>
      <c r="H58" s="1">
        <f t="shared" si="1"/>
        <v>0.25094768764215314</v>
      </c>
      <c r="I58" s="1">
        <f t="shared" si="2"/>
        <v>1.3595166163141994E-2</v>
      </c>
      <c r="J58" s="2">
        <v>44599.837741469899</v>
      </c>
    </row>
    <row r="59" spans="1:10" hidden="1" x14ac:dyDescent="0.3">
      <c r="A59" s="1" t="s">
        <v>35</v>
      </c>
      <c r="B59" s="1" t="s">
        <v>96</v>
      </c>
      <c r="C59" s="1" t="str">
        <f t="shared" si="0"/>
        <v>Gogebic, Michigan</v>
      </c>
      <c r="D59" s="1" t="s">
        <v>7</v>
      </c>
      <c r="E59" s="1">
        <v>514</v>
      </c>
      <c r="F59" s="1">
        <v>29</v>
      </c>
      <c r="G59" s="1">
        <f>_xlfn.IFNA(VLOOKUP(A59 &amp; "*", PopulationTable[#All],2,FALSE), " ")</f>
        <v>10552</v>
      </c>
      <c r="H59" s="1">
        <f t="shared" si="1"/>
        <v>4.871114480667172E-2</v>
      </c>
      <c r="I59" s="1">
        <f t="shared" si="2"/>
        <v>5.642023346303502E-2</v>
      </c>
      <c r="J59" s="2">
        <v>44599.837741469899</v>
      </c>
    </row>
    <row r="60" spans="1:10" x14ac:dyDescent="0.3">
      <c r="A60" s="1" t="s">
        <v>36</v>
      </c>
      <c r="B60" s="1" t="s">
        <v>96</v>
      </c>
      <c r="C60" s="1" t="str">
        <f t="shared" si="0"/>
        <v>Grand Traverse, Michigan</v>
      </c>
      <c r="D60" s="1" t="s">
        <v>6</v>
      </c>
      <c r="E60" s="1">
        <v>12897</v>
      </c>
      <c r="F60" s="1">
        <v>180</v>
      </c>
      <c r="G60" s="1">
        <f>_xlfn.IFNA(VLOOKUP(A60 &amp; "*", PopulationTable[#All],2,FALSE), " ")</f>
        <v>94762</v>
      </c>
      <c r="H60" s="1">
        <f t="shared" si="1"/>
        <v>0.13609885819210232</v>
      </c>
      <c r="I60" s="1">
        <f t="shared" si="2"/>
        <v>1.3956734124214934E-2</v>
      </c>
      <c r="J60" s="2">
        <v>44599.837741469899</v>
      </c>
    </row>
    <row r="61" spans="1:10" hidden="1" x14ac:dyDescent="0.3">
      <c r="A61" s="1" t="s">
        <v>36</v>
      </c>
      <c r="B61" s="1" t="s">
        <v>96</v>
      </c>
      <c r="C61" s="1" t="str">
        <f t="shared" si="0"/>
        <v>Grand Traverse, Michigan</v>
      </c>
      <c r="D61" s="1" t="s">
        <v>7</v>
      </c>
      <c r="E61" s="1">
        <v>3480</v>
      </c>
      <c r="F61" s="1">
        <v>21</v>
      </c>
      <c r="G61" s="1">
        <f>_xlfn.IFNA(VLOOKUP(A61 &amp; "*", PopulationTable[#All],2,FALSE), " ")</f>
        <v>94762</v>
      </c>
      <c r="H61" s="1">
        <f t="shared" si="1"/>
        <v>3.6723581182330468E-2</v>
      </c>
      <c r="I61" s="1">
        <f t="shared" si="2"/>
        <v>6.0344827586206896E-3</v>
      </c>
      <c r="J61" s="2">
        <v>44599.837741469899</v>
      </c>
    </row>
    <row r="62" spans="1:10" x14ac:dyDescent="0.3">
      <c r="A62" s="1" t="s">
        <v>37</v>
      </c>
      <c r="B62" s="1" t="s">
        <v>96</v>
      </c>
      <c r="C62" s="1" t="str">
        <f t="shared" si="0"/>
        <v>Gratiot, Michigan</v>
      </c>
      <c r="D62" s="1" t="s">
        <v>6</v>
      </c>
      <c r="E62" s="1">
        <v>7087</v>
      </c>
      <c r="F62" s="1">
        <v>163</v>
      </c>
      <c r="G62" s="1">
        <f>_xlfn.IFNA(VLOOKUP(A62 &amp; "*", PopulationTable[#All],2,FALSE), " ")</f>
        <v>41038</v>
      </c>
      <c r="H62" s="1">
        <f t="shared" si="1"/>
        <v>0.17269360105268289</v>
      </c>
      <c r="I62" s="1">
        <f t="shared" si="2"/>
        <v>2.2999858896571187E-2</v>
      </c>
      <c r="J62" s="2">
        <v>44599.8377414813</v>
      </c>
    </row>
    <row r="63" spans="1:10" hidden="1" x14ac:dyDescent="0.3">
      <c r="A63" s="1" t="s">
        <v>37</v>
      </c>
      <c r="B63" s="1" t="s">
        <v>96</v>
      </c>
      <c r="C63" s="1" t="str">
        <f t="shared" si="0"/>
        <v>Gratiot, Michigan</v>
      </c>
      <c r="D63" s="1" t="s">
        <v>7</v>
      </c>
      <c r="E63" s="1">
        <v>3123</v>
      </c>
      <c r="F63" s="1">
        <v>9</v>
      </c>
      <c r="G63" s="1">
        <f>_xlfn.IFNA(VLOOKUP(A63 &amp; "*", PopulationTable[#All],2,FALSE), " ")</f>
        <v>41038</v>
      </c>
      <c r="H63" s="1">
        <f t="shared" si="1"/>
        <v>7.6100199814805786E-2</v>
      </c>
      <c r="I63" s="1">
        <f t="shared" si="2"/>
        <v>2.881844380403458E-3</v>
      </c>
      <c r="J63" s="2">
        <v>44599.8377414813</v>
      </c>
    </row>
    <row r="64" spans="1:10" x14ac:dyDescent="0.3">
      <c r="A64" s="1" t="s">
        <v>38</v>
      </c>
      <c r="B64" s="1" t="s">
        <v>96</v>
      </c>
      <c r="C64" s="1" t="str">
        <f t="shared" si="0"/>
        <v>Hillsdale, Michigan</v>
      </c>
      <c r="D64" s="1" t="s">
        <v>6</v>
      </c>
      <c r="E64" s="1">
        <v>8940</v>
      </c>
      <c r="F64" s="1">
        <v>176</v>
      </c>
      <c r="G64" s="1">
        <f>_xlfn.IFNA(VLOOKUP(A64 &amp; "*", PopulationTable[#All],2,FALSE), " ")</f>
        <v>45314</v>
      </c>
      <c r="H64" s="1">
        <f t="shared" si="1"/>
        <v>0.19729002074414087</v>
      </c>
      <c r="I64" s="1">
        <f t="shared" si="2"/>
        <v>1.9686800894854587E-2</v>
      </c>
      <c r="J64" s="2">
        <v>44599.8377414813</v>
      </c>
    </row>
    <row r="65" spans="1:10" hidden="1" x14ac:dyDescent="0.3">
      <c r="A65" s="1" t="s">
        <v>38</v>
      </c>
      <c r="B65" s="1" t="s">
        <v>96</v>
      </c>
      <c r="C65" s="1" t="str">
        <f t="shared" si="0"/>
        <v>Hillsdale, Michigan</v>
      </c>
      <c r="D65" s="1" t="s">
        <v>7</v>
      </c>
      <c r="E65" s="1">
        <v>1068</v>
      </c>
      <c r="F65" s="1">
        <v>8</v>
      </c>
      <c r="G65" s="1">
        <f>_xlfn.IFNA(VLOOKUP(A65 &amp; "*", PopulationTable[#All],2,FALSE), " ")</f>
        <v>45314</v>
      </c>
      <c r="H65" s="1">
        <f t="shared" si="1"/>
        <v>2.356887496138059E-2</v>
      </c>
      <c r="I65" s="1">
        <f t="shared" si="2"/>
        <v>7.4906367041198503E-3</v>
      </c>
      <c r="J65" s="2">
        <v>44599.8377414813</v>
      </c>
    </row>
    <row r="66" spans="1:10" x14ac:dyDescent="0.3">
      <c r="A66" s="1" t="s">
        <v>39</v>
      </c>
      <c r="B66" s="1" t="s">
        <v>96</v>
      </c>
      <c r="C66" s="1" t="str">
        <f t="shared" si="0"/>
        <v>Houghton, Michigan</v>
      </c>
      <c r="D66" s="1" t="s">
        <v>6</v>
      </c>
      <c r="E66" s="1">
        <v>6487</v>
      </c>
      <c r="F66" s="1">
        <v>73</v>
      </c>
      <c r="G66" s="1">
        <f>_xlfn.IFNA(VLOOKUP(A66 &amp; "*", PopulationTable[#All],2,FALSE), " ")</f>
        <v>34907</v>
      </c>
      <c r="H66" s="1">
        <f t="shared" si="1"/>
        <v>0.18583665167444924</v>
      </c>
      <c r="I66" s="1">
        <f t="shared" si="2"/>
        <v>1.1253275782333899E-2</v>
      </c>
      <c r="J66" s="2">
        <v>44599.8377414813</v>
      </c>
    </row>
    <row r="67" spans="1:10" hidden="1" x14ac:dyDescent="0.3">
      <c r="A67" s="1" t="s">
        <v>39</v>
      </c>
      <c r="B67" s="1" t="s">
        <v>96</v>
      </c>
      <c r="C67" s="1" t="str">
        <f t="shared" ref="C67:C130" si="3">_xlfn.CONCAT(A67,", ",B67)</f>
        <v>Houghton, Michigan</v>
      </c>
      <c r="D67" s="1" t="s">
        <v>7</v>
      </c>
      <c r="E67" s="1">
        <v>1055</v>
      </c>
      <c r="F67" s="1">
        <v>11</v>
      </c>
      <c r="G67" s="1">
        <f>_xlfn.IFNA(VLOOKUP(A67 &amp; "*", PopulationTable[#All],2,FALSE), " ")</f>
        <v>34907</v>
      </c>
      <c r="H67" s="1">
        <f t="shared" ref="H67:H130" si="4">IFERROR(E67/G67," ")</f>
        <v>3.0223164408284871E-2</v>
      </c>
      <c r="I67" s="1">
        <f t="shared" ref="I67:I130" si="5">IFERROR(F67/E67, " ")</f>
        <v>1.042654028436019E-2</v>
      </c>
      <c r="J67" s="2">
        <v>44599.8377414813</v>
      </c>
    </row>
    <row r="68" spans="1:10" x14ac:dyDescent="0.3">
      <c r="A68" s="1" t="s">
        <v>40</v>
      </c>
      <c r="B68" s="1" t="s">
        <v>96</v>
      </c>
      <c r="C68" s="1" t="str">
        <f t="shared" si="3"/>
        <v>Huron, Michigan</v>
      </c>
      <c r="D68" s="1" t="s">
        <v>6</v>
      </c>
      <c r="E68" s="1">
        <v>6000</v>
      </c>
      <c r="F68" s="1">
        <v>119</v>
      </c>
      <c r="G68" s="1">
        <f>_xlfn.IFNA(VLOOKUP(A68 &amp; "*", PopulationTable[#All],2,FALSE), " ")</f>
        <v>30291</v>
      </c>
      <c r="H68" s="1">
        <f t="shared" si="4"/>
        <v>0.19807863721897592</v>
      </c>
      <c r="I68" s="1">
        <f t="shared" si="5"/>
        <v>1.9833333333333335E-2</v>
      </c>
      <c r="J68" s="2">
        <v>44599.8377414813</v>
      </c>
    </row>
    <row r="69" spans="1:10" hidden="1" x14ac:dyDescent="0.3">
      <c r="A69" s="1" t="s">
        <v>40</v>
      </c>
      <c r="B69" s="1" t="s">
        <v>96</v>
      </c>
      <c r="C69" s="1" t="str">
        <f t="shared" si="3"/>
        <v>Huron, Michigan</v>
      </c>
      <c r="D69" s="1" t="s">
        <v>7</v>
      </c>
      <c r="E69" s="1">
        <v>1862</v>
      </c>
      <c r="F69" s="1">
        <v>19</v>
      </c>
      <c r="G69" s="1">
        <f>_xlfn.IFNA(VLOOKUP(A69 &amp; "*", PopulationTable[#All],2,FALSE), " ")</f>
        <v>30291</v>
      </c>
      <c r="H69" s="1">
        <f t="shared" si="4"/>
        <v>6.1470403750288866E-2</v>
      </c>
      <c r="I69" s="1">
        <f t="shared" si="5"/>
        <v>1.020408163265306E-2</v>
      </c>
      <c r="J69" s="2">
        <v>44599.8377414813</v>
      </c>
    </row>
    <row r="70" spans="1:10" x14ac:dyDescent="0.3">
      <c r="A70" s="1" t="s">
        <v>41</v>
      </c>
      <c r="B70" s="1" t="s">
        <v>96</v>
      </c>
      <c r="C70" s="1" t="str">
        <f t="shared" si="3"/>
        <v>Ingham, Michigan</v>
      </c>
      <c r="D70" s="1" t="s">
        <v>6</v>
      </c>
      <c r="E70" s="1">
        <v>51368</v>
      </c>
      <c r="F70" s="1">
        <v>654</v>
      </c>
      <c r="G70" s="1">
        <f>_xlfn.IFNA(VLOOKUP(A70 &amp; "*", PopulationTable[#All],2,FALSE), " ")</f>
        <v>294788</v>
      </c>
      <c r="H70" s="1">
        <f t="shared" si="4"/>
        <v>0.17425404019159532</v>
      </c>
      <c r="I70" s="1">
        <f t="shared" si="5"/>
        <v>1.2731661734932254E-2</v>
      </c>
      <c r="J70" s="2">
        <v>44599.837741504503</v>
      </c>
    </row>
    <row r="71" spans="1:10" hidden="1" x14ac:dyDescent="0.3">
      <c r="A71" s="1" t="s">
        <v>41</v>
      </c>
      <c r="B71" s="1" t="s">
        <v>96</v>
      </c>
      <c r="C71" s="1" t="str">
        <f t="shared" si="3"/>
        <v>Ingham, Michigan</v>
      </c>
      <c r="D71" s="1" t="s">
        <v>7</v>
      </c>
      <c r="E71" s="1">
        <v>10036</v>
      </c>
      <c r="F71" s="1">
        <v>31</v>
      </c>
      <c r="G71" s="1">
        <f>_xlfn.IFNA(VLOOKUP(A71 &amp; "*", PopulationTable[#All],2,FALSE), " ")</f>
        <v>294788</v>
      </c>
      <c r="H71" s="1">
        <f t="shared" si="4"/>
        <v>3.4044805080261066E-2</v>
      </c>
      <c r="I71" s="1">
        <f t="shared" si="5"/>
        <v>3.0888800318852132E-3</v>
      </c>
      <c r="J71" s="2">
        <v>44599.837741504503</v>
      </c>
    </row>
    <row r="72" spans="1:10" x14ac:dyDescent="0.3">
      <c r="A72" s="1" t="s">
        <v>42</v>
      </c>
      <c r="B72" s="1" t="s">
        <v>96</v>
      </c>
      <c r="C72" s="1" t="str">
        <f t="shared" si="3"/>
        <v>Ionia, Michigan</v>
      </c>
      <c r="D72" s="1" t="s">
        <v>6</v>
      </c>
      <c r="E72" s="1">
        <v>15118</v>
      </c>
      <c r="F72" s="1">
        <v>161</v>
      </c>
      <c r="G72" s="1">
        <f>_xlfn.IFNA(VLOOKUP(A72 &amp; "*", PopulationTable[#All],2,FALSE), " ")</f>
        <v>65960</v>
      </c>
      <c r="H72" s="1">
        <f t="shared" si="4"/>
        <v>0.22919951485748938</v>
      </c>
      <c r="I72" s="1">
        <f t="shared" si="5"/>
        <v>1.0649556819685144E-2</v>
      </c>
      <c r="J72" s="2">
        <v>44599.837741504503</v>
      </c>
    </row>
    <row r="73" spans="1:10" hidden="1" x14ac:dyDescent="0.3">
      <c r="A73" s="1" t="s">
        <v>42</v>
      </c>
      <c r="B73" s="1" t="s">
        <v>96</v>
      </c>
      <c r="C73" s="1" t="str">
        <f t="shared" si="3"/>
        <v>Ionia, Michigan</v>
      </c>
      <c r="D73" s="1" t="s">
        <v>7</v>
      </c>
      <c r="E73" s="1">
        <v>739</v>
      </c>
      <c r="F73" s="1">
        <v>4</v>
      </c>
      <c r="G73" s="1">
        <f>_xlfn.IFNA(VLOOKUP(A73 &amp; "*", PopulationTable[#All],2,FALSE), " ")</f>
        <v>65960</v>
      </c>
      <c r="H73" s="1">
        <f t="shared" si="4"/>
        <v>1.1203759854457247E-2</v>
      </c>
      <c r="I73" s="1">
        <f t="shared" si="5"/>
        <v>5.4127198917456026E-3</v>
      </c>
      <c r="J73" s="2">
        <v>44599.837741504503</v>
      </c>
    </row>
    <row r="74" spans="1:10" x14ac:dyDescent="0.3">
      <c r="A74" s="1" t="s">
        <v>43</v>
      </c>
      <c r="B74" s="1" t="s">
        <v>96</v>
      </c>
      <c r="C74" s="1" t="str">
        <f t="shared" si="3"/>
        <v>Iosco, Michigan</v>
      </c>
      <c r="D74" s="1" t="s">
        <v>6</v>
      </c>
      <c r="E74" s="1">
        <v>4026</v>
      </c>
      <c r="F74" s="1">
        <v>119</v>
      </c>
      <c r="G74" s="1">
        <f>_xlfn.IFNA(VLOOKUP(A74 &amp; "*", PopulationTable[#All],2,FALSE), " ")</f>
        <v>25199</v>
      </c>
      <c r="H74" s="1">
        <f t="shared" si="4"/>
        <v>0.15976824477161791</v>
      </c>
      <c r="I74" s="1">
        <f t="shared" si="5"/>
        <v>2.9557873820168903E-2</v>
      </c>
      <c r="J74" s="2">
        <v>44599.837741504503</v>
      </c>
    </row>
    <row r="75" spans="1:10" hidden="1" x14ac:dyDescent="0.3">
      <c r="A75" s="1" t="s">
        <v>43</v>
      </c>
      <c r="B75" s="1" t="s">
        <v>96</v>
      </c>
      <c r="C75" s="1" t="str">
        <f t="shared" si="3"/>
        <v>Iosco, Michigan</v>
      </c>
      <c r="D75" s="1" t="s">
        <v>7</v>
      </c>
      <c r="E75" s="1">
        <v>579</v>
      </c>
      <c r="F75" s="1">
        <v>10</v>
      </c>
      <c r="G75" s="1">
        <f>_xlfn.IFNA(VLOOKUP(A75 &amp; "*", PopulationTable[#All],2,FALSE), " ")</f>
        <v>25199</v>
      </c>
      <c r="H75" s="1">
        <f t="shared" si="4"/>
        <v>2.2977102265962935E-2</v>
      </c>
      <c r="I75" s="1">
        <f t="shared" si="5"/>
        <v>1.7271157167530225E-2</v>
      </c>
      <c r="J75" s="2">
        <v>44599.837741504503</v>
      </c>
    </row>
    <row r="76" spans="1:10" x14ac:dyDescent="0.3">
      <c r="A76" s="1" t="s">
        <v>44</v>
      </c>
      <c r="B76" s="1" t="s">
        <v>96</v>
      </c>
      <c r="C76" s="1" t="str">
        <f t="shared" si="3"/>
        <v>Iron, Michigan</v>
      </c>
      <c r="D76" s="1" t="s">
        <v>6</v>
      </c>
      <c r="E76" s="1">
        <v>2230</v>
      </c>
      <c r="F76" s="1">
        <v>66</v>
      </c>
      <c r="G76" s="1">
        <f>_xlfn.IFNA(VLOOKUP(A76 &amp; "*", PopulationTable[#All],2,FALSE), " ")</f>
        <v>10952</v>
      </c>
      <c r="H76" s="1">
        <f t="shared" si="4"/>
        <v>0.20361577794010227</v>
      </c>
      <c r="I76" s="1">
        <f t="shared" si="5"/>
        <v>2.9596412556053813E-2</v>
      </c>
      <c r="J76" s="2">
        <v>44599.837741504503</v>
      </c>
    </row>
    <row r="77" spans="1:10" hidden="1" x14ac:dyDescent="0.3">
      <c r="A77" s="1" t="s">
        <v>44</v>
      </c>
      <c r="B77" s="1" t="s">
        <v>96</v>
      </c>
      <c r="C77" s="1" t="str">
        <f t="shared" si="3"/>
        <v>Iron, Michigan</v>
      </c>
      <c r="D77" s="1" t="s">
        <v>7</v>
      </c>
      <c r="E77" s="1">
        <v>324</v>
      </c>
      <c r="F77" s="1">
        <v>13</v>
      </c>
      <c r="G77" s="1">
        <f>_xlfn.IFNA(VLOOKUP(A77 &amp; "*", PopulationTable[#All],2,FALSE), " ")</f>
        <v>10952</v>
      </c>
      <c r="H77" s="1">
        <f t="shared" si="4"/>
        <v>2.9583637691745799E-2</v>
      </c>
      <c r="I77" s="1">
        <f t="shared" si="5"/>
        <v>4.0123456790123455E-2</v>
      </c>
      <c r="J77" s="2">
        <v>44599.837741504503</v>
      </c>
    </row>
    <row r="78" spans="1:10" x14ac:dyDescent="0.3">
      <c r="A78" s="1" t="s">
        <v>45</v>
      </c>
      <c r="B78" s="1" t="s">
        <v>96</v>
      </c>
      <c r="C78" s="1" t="str">
        <f t="shared" si="3"/>
        <v>Isabella, Michigan</v>
      </c>
      <c r="D78" s="1" t="s">
        <v>6</v>
      </c>
      <c r="E78" s="1">
        <v>12747</v>
      </c>
      <c r="F78" s="1">
        <v>170</v>
      </c>
      <c r="G78" s="1">
        <f>_xlfn.IFNA(VLOOKUP(A78 &amp; "*", PopulationTable[#All],2,FALSE), " ")</f>
        <v>68099</v>
      </c>
      <c r="H78" s="1">
        <f t="shared" si="4"/>
        <v>0.18718336539449917</v>
      </c>
      <c r="I78" s="1">
        <f t="shared" si="5"/>
        <v>1.3336471326586647E-2</v>
      </c>
      <c r="J78" s="2">
        <v>44599.837741515898</v>
      </c>
    </row>
    <row r="79" spans="1:10" hidden="1" x14ac:dyDescent="0.3">
      <c r="A79" s="1" t="s">
        <v>45</v>
      </c>
      <c r="B79" s="1" t="s">
        <v>96</v>
      </c>
      <c r="C79" s="1" t="str">
        <f t="shared" si="3"/>
        <v>Isabella, Michigan</v>
      </c>
      <c r="D79" s="1" t="s">
        <v>7</v>
      </c>
      <c r="E79" s="1">
        <v>2282</v>
      </c>
      <c r="F79" s="1">
        <v>15</v>
      </c>
      <c r="G79" s="1">
        <f>_xlfn.IFNA(VLOOKUP(A79 &amp; "*", PopulationTable[#All],2,FALSE), " ")</f>
        <v>68099</v>
      </c>
      <c r="H79" s="1">
        <f t="shared" si="4"/>
        <v>3.3510036858103644E-2</v>
      </c>
      <c r="I79" s="1">
        <f t="shared" si="5"/>
        <v>6.5731814198071864E-3</v>
      </c>
      <c r="J79" s="2">
        <v>44599.837741515898</v>
      </c>
    </row>
    <row r="80" spans="1:10" x14ac:dyDescent="0.3">
      <c r="A80" s="1" t="s">
        <v>46</v>
      </c>
      <c r="B80" s="1" t="s">
        <v>96</v>
      </c>
      <c r="C80" s="1" t="str">
        <f t="shared" si="3"/>
        <v>Jackson, Michigan</v>
      </c>
      <c r="D80" s="1" t="s">
        <v>6</v>
      </c>
      <c r="E80" s="1">
        <v>33408</v>
      </c>
      <c r="F80" s="1">
        <v>476</v>
      </c>
      <c r="G80" s="1">
        <f>_xlfn.IFNA(VLOOKUP(A80 &amp; "*", PopulationTable[#All],2,FALSE), " ")</f>
        <v>158342</v>
      </c>
      <c r="H80" s="1">
        <f t="shared" si="4"/>
        <v>0.21098634601053415</v>
      </c>
      <c r="I80" s="1">
        <f t="shared" si="5"/>
        <v>1.424808429118774E-2</v>
      </c>
      <c r="J80" s="2">
        <v>44599.837741527597</v>
      </c>
    </row>
    <row r="81" spans="1:10" hidden="1" x14ac:dyDescent="0.3">
      <c r="A81" s="1" t="s">
        <v>46</v>
      </c>
      <c r="B81" s="1" t="s">
        <v>96</v>
      </c>
      <c r="C81" s="1" t="str">
        <f t="shared" si="3"/>
        <v>Jackson, Michigan</v>
      </c>
      <c r="D81" s="1" t="s">
        <v>7</v>
      </c>
      <c r="E81" s="1">
        <v>4982</v>
      </c>
      <c r="F81" s="1">
        <v>15</v>
      </c>
      <c r="G81" s="1">
        <f>_xlfn.IFNA(VLOOKUP(A81 &amp; "*", PopulationTable[#All],2,FALSE), " ")</f>
        <v>158342</v>
      </c>
      <c r="H81" s="1">
        <f t="shared" si="4"/>
        <v>3.1463540943022068E-2</v>
      </c>
      <c r="I81" s="1">
        <f t="shared" si="5"/>
        <v>3.0108390204737052E-3</v>
      </c>
      <c r="J81" s="2">
        <v>44599.837741527597</v>
      </c>
    </row>
    <row r="82" spans="1:10" x14ac:dyDescent="0.3">
      <c r="A82" s="1" t="s">
        <v>47</v>
      </c>
      <c r="B82" s="1" t="s">
        <v>96</v>
      </c>
      <c r="C82" s="1" t="str">
        <f t="shared" si="3"/>
        <v>Kalamazoo, Michigan</v>
      </c>
      <c r="D82" s="1" t="s">
        <v>6</v>
      </c>
      <c r="E82" s="1">
        <v>50787</v>
      </c>
      <c r="F82" s="1">
        <v>558</v>
      </c>
      <c r="G82" s="1">
        <f>_xlfn.IFNA(VLOOKUP(A82 &amp; "*", PopulationTable[#All],2,FALSE), " ")</f>
        <v>266224</v>
      </c>
      <c r="H82" s="1">
        <f t="shared" si="4"/>
        <v>0.19076792475509347</v>
      </c>
      <c r="I82" s="1">
        <f t="shared" si="5"/>
        <v>1.0987063618642566E-2</v>
      </c>
      <c r="J82" s="2">
        <v>44599.837741538999</v>
      </c>
    </row>
    <row r="83" spans="1:10" hidden="1" x14ac:dyDescent="0.3">
      <c r="A83" s="1" t="s">
        <v>47</v>
      </c>
      <c r="B83" s="1" t="s">
        <v>96</v>
      </c>
      <c r="C83" s="1" t="str">
        <f t="shared" si="3"/>
        <v>Kalamazoo, Michigan</v>
      </c>
      <c r="D83" s="1" t="s">
        <v>7</v>
      </c>
      <c r="E83" s="1">
        <v>5588</v>
      </c>
      <c r="F83" s="1">
        <v>58</v>
      </c>
      <c r="G83" s="1">
        <f>_xlfn.IFNA(VLOOKUP(A83 &amp; "*", PopulationTable[#All],2,FALSE), " ")</f>
        <v>266224</v>
      </c>
      <c r="H83" s="1">
        <f t="shared" si="4"/>
        <v>2.0989843139611754E-2</v>
      </c>
      <c r="I83" s="1">
        <f t="shared" si="5"/>
        <v>1.0379384395132427E-2</v>
      </c>
      <c r="J83" s="2">
        <v>44599.837741538999</v>
      </c>
    </row>
    <row r="84" spans="1:10" x14ac:dyDescent="0.3">
      <c r="A84" s="1" t="s">
        <v>48</v>
      </c>
      <c r="B84" s="1" t="s">
        <v>96</v>
      </c>
      <c r="C84" s="1" t="str">
        <f t="shared" si="3"/>
        <v>Kalkaska, Michigan</v>
      </c>
      <c r="D84" s="1" t="s">
        <v>6</v>
      </c>
      <c r="E84" s="1">
        <v>2885</v>
      </c>
      <c r="F84" s="1">
        <v>49</v>
      </c>
      <c r="G84" s="1">
        <f>_xlfn.IFNA(VLOOKUP(A84 &amp; "*", PopulationTable[#All],2,FALSE), " ")</f>
        <v>18734</v>
      </c>
      <c r="H84" s="1">
        <f t="shared" si="4"/>
        <v>0.15399807836020071</v>
      </c>
      <c r="I84" s="1">
        <f t="shared" si="5"/>
        <v>1.6984402079722703E-2</v>
      </c>
      <c r="J84" s="2">
        <v>44599.837741538999</v>
      </c>
    </row>
    <row r="85" spans="1:10" hidden="1" x14ac:dyDescent="0.3">
      <c r="A85" s="1" t="s">
        <v>48</v>
      </c>
      <c r="B85" s="1" t="s">
        <v>96</v>
      </c>
      <c r="C85" s="1" t="str">
        <f t="shared" si="3"/>
        <v>Kalkaska, Michigan</v>
      </c>
      <c r="D85" s="1" t="s">
        <v>7</v>
      </c>
      <c r="E85" s="1">
        <v>500</v>
      </c>
      <c r="F85" s="1">
        <v>2</v>
      </c>
      <c r="G85" s="1">
        <f>_xlfn.IFNA(VLOOKUP(A85 &amp; "*", PopulationTable[#All],2,FALSE), " ")</f>
        <v>18734</v>
      </c>
      <c r="H85" s="1">
        <f t="shared" si="4"/>
        <v>2.6689441656880537E-2</v>
      </c>
      <c r="I85" s="1">
        <f t="shared" si="5"/>
        <v>4.0000000000000001E-3</v>
      </c>
      <c r="J85" s="2">
        <v>44599.837741538999</v>
      </c>
    </row>
    <row r="86" spans="1:10" x14ac:dyDescent="0.3">
      <c r="A86" s="1" t="s">
        <v>49</v>
      </c>
      <c r="B86" s="1" t="s">
        <v>96</v>
      </c>
      <c r="C86" s="1" t="str">
        <f t="shared" si="3"/>
        <v>Kent, Michigan</v>
      </c>
      <c r="D86" s="1" t="s">
        <v>6</v>
      </c>
      <c r="E86" s="1">
        <v>149092</v>
      </c>
      <c r="F86" s="1">
        <v>1253</v>
      </c>
      <c r="G86" s="1">
        <f>_xlfn.IFNA(VLOOKUP(A86 &amp; "*", PopulationTable[#All],2,FALSE), " ")</f>
        <v>667770</v>
      </c>
      <c r="H86" s="1">
        <f t="shared" si="4"/>
        <v>0.2232684906479776</v>
      </c>
      <c r="I86" s="1">
        <f t="shared" si="5"/>
        <v>8.40420679848684E-3</v>
      </c>
      <c r="J86" s="2">
        <v>44599.837741573698</v>
      </c>
    </row>
    <row r="87" spans="1:10" hidden="1" x14ac:dyDescent="0.3">
      <c r="A87" s="1" t="s">
        <v>49</v>
      </c>
      <c r="B87" s="1" t="s">
        <v>96</v>
      </c>
      <c r="C87" s="1" t="str">
        <f t="shared" si="3"/>
        <v>Kent, Michigan</v>
      </c>
      <c r="D87" s="1" t="s">
        <v>7</v>
      </c>
      <c r="E87" s="1">
        <v>12225</v>
      </c>
      <c r="F87" s="1">
        <v>151</v>
      </c>
      <c r="G87" s="1">
        <f>_xlfn.IFNA(VLOOKUP(A87 &amp; "*", PopulationTable[#All],2,FALSE), " ")</f>
        <v>667770</v>
      </c>
      <c r="H87" s="1">
        <f t="shared" si="4"/>
        <v>1.8307201581382812E-2</v>
      </c>
      <c r="I87" s="1">
        <f t="shared" si="5"/>
        <v>1.2351738241308793E-2</v>
      </c>
      <c r="J87" s="2">
        <v>44599.837741573698</v>
      </c>
    </row>
    <row r="88" spans="1:10" x14ac:dyDescent="0.3">
      <c r="A88" s="1" t="s">
        <v>50</v>
      </c>
      <c r="B88" s="1" t="s">
        <v>96</v>
      </c>
      <c r="C88" s="1" t="str">
        <f t="shared" si="3"/>
        <v>Keweenaw, Michigan</v>
      </c>
      <c r="D88" s="1" t="s">
        <v>6</v>
      </c>
      <c r="E88" s="1">
        <v>442</v>
      </c>
      <c r="F88" s="1">
        <v>11</v>
      </c>
      <c r="G88" s="1">
        <f>_xlfn.IFNA(VLOOKUP(A88 &amp; "*", PopulationTable[#All],2,FALSE), " ")</f>
        <v>2194</v>
      </c>
      <c r="H88" s="1">
        <f t="shared" si="4"/>
        <v>0.20145852324521421</v>
      </c>
      <c r="I88" s="1">
        <f t="shared" si="5"/>
        <v>2.4886877828054297E-2</v>
      </c>
      <c r="J88" s="2">
        <v>44599.837741573698</v>
      </c>
    </row>
    <row r="89" spans="1:10" hidden="1" x14ac:dyDescent="0.3">
      <c r="A89" s="1" t="s">
        <v>50</v>
      </c>
      <c r="B89" s="1" t="s">
        <v>96</v>
      </c>
      <c r="C89" s="1" t="str">
        <f t="shared" si="3"/>
        <v>Keweenaw, Michigan</v>
      </c>
      <c r="D89" s="1" t="s">
        <v>7</v>
      </c>
      <c r="E89" s="1">
        <v>50</v>
      </c>
      <c r="F89" s="1">
        <v>1</v>
      </c>
      <c r="G89" s="1">
        <f>_xlfn.IFNA(VLOOKUP(A89 &amp; "*", PopulationTable[#All],2,FALSE), " ")</f>
        <v>2194</v>
      </c>
      <c r="H89" s="1">
        <f t="shared" si="4"/>
        <v>2.2789425706472195E-2</v>
      </c>
      <c r="I89" s="1">
        <f t="shared" si="5"/>
        <v>0.02</v>
      </c>
      <c r="J89" s="2">
        <v>44599.837741573698</v>
      </c>
    </row>
    <row r="90" spans="1:10" x14ac:dyDescent="0.3">
      <c r="A90" s="1" t="s">
        <v>51</v>
      </c>
      <c r="B90" s="1" t="s">
        <v>96</v>
      </c>
      <c r="C90" s="1" t="str">
        <f t="shared" si="3"/>
        <v>Lake, Michigan</v>
      </c>
      <c r="D90" s="1" t="s">
        <v>6</v>
      </c>
      <c r="E90" s="1">
        <v>1469</v>
      </c>
      <c r="F90" s="1">
        <v>30</v>
      </c>
      <c r="G90" s="1">
        <f>_xlfn.IFNA(VLOOKUP(A90 &amp; "*", PopulationTable[#All],2,FALSE), " ")</f>
        <v>11784</v>
      </c>
      <c r="H90" s="1">
        <f t="shared" si="4"/>
        <v>0.12466055668703327</v>
      </c>
      <c r="I90" s="1">
        <f t="shared" si="5"/>
        <v>2.042205582028591E-2</v>
      </c>
      <c r="J90" s="2">
        <v>44599.837741573698</v>
      </c>
    </row>
    <row r="91" spans="1:10" hidden="1" x14ac:dyDescent="0.3">
      <c r="A91" s="1" t="s">
        <v>51</v>
      </c>
      <c r="B91" s="1" t="s">
        <v>96</v>
      </c>
      <c r="C91" s="1" t="str">
        <f t="shared" si="3"/>
        <v>Lake, Michigan</v>
      </c>
      <c r="D91" s="1" t="s">
        <v>7</v>
      </c>
      <c r="E91" s="1">
        <v>276</v>
      </c>
      <c r="F91" s="1">
        <v>3</v>
      </c>
      <c r="G91" s="1">
        <f>_xlfn.IFNA(VLOOKUP(A91 &amp; "*", PopulationTable[#All],2,FALSE), " ")</f>
        <v>11784</v>
      </c>
      <c r="H91" s="1">
        <f t="shared" si="4"/>
        <v>2.3421588594704685E-2</v>
      </c>
      <c r="I91" s="1">
        <f t="shared" si="5"/>
        <v>1.0869565217391304E-2</v>
      </c>
      <c r="J91" s="2">
        <v>44599.837741573698</v>
      </c>
    </row>
    <row r="92" spans="1:10" x14ac:dyDescent="0.3">
      <c r="A92" s="1" t="s">
        <v>52</v>
      </c>
      <c r="B92" s="1" t="s">
        <v>96</v>
      </c>
      <c r="C92" s="1" t="str">
        <f t="shared" si="3"/>
        <v>Lapeer, Michigan</v>
      </c>
      <c r="D92" s="1" t="s">
        <v>6</v>
      </c>
      <c r="E92" s="1">
        <v>16480</v>
      </c>
      <c r="F92" s="1">
        <v>365</v>
      </c>
      <c r="G92" s="1">
        <f>_xlfn.IFNA(VLOOKUP(A92 &amp; "*", PopulationTable[#All],2,FALSE), " ")</f>
        <v>86665</v>
      </c>
      <c r="H92" s="1">
        <f t="shared" si="4"/>
        <v>0.19015750302890441</v>
      </c>
      <c r="I92" s="1">
        <f t="shared" si="5"/>
        <v>2.2148058252427185E-2</v>
      </c>
      <c r="J92" s="2">
        <v>44599.837741585303</v>
      </c>
    </row>
    <row r="93" spans="1:10" hidden="1" x14ac:dyDescent="0.3">
      <c r="A93" s="1" t="s">
        <v>52</v>
      </c>
      <c r="B93" s="1" t="s">
        <v>96</v>
      </c>
      <c r="C93" s="1" t="str">
        <f t="shared" si="3"/>
        <v>Lapeer, Michigan</v>
      </c>
      <c r="D93" s="1" t="s">
        <v>7</v>
      </c>
      <c r="E93" s="1">
        <v>3264</v>
      </c>
      <c r="F93" s="1">
        <v>21</v>
      </c>
      <c r="G93" s="1">
        <f>_xlfn.IFNA(VLOOKUP(A93 &amp; "*", PopulationTable[#All],2,FALSE), " ")</f>
        <v>86665</v>
      </c>
      <c r="H93" s="1">
        <f t="shared" si="4"/>
        <v>3.7662262735821843E-2</v>
      </c>
      <c r="I93" s="1">
        <f t="shared" si="5"/>
        <v>6.4338235294117644E-3</v>
      </c>
      <c r="J93" s="2">
        <v>44599.837741585303</v>
      </c>
    </row>
    <row r="94" spans="1:10" x14ac:dyDescent="0.3">
      <c r="A94" s="1" t="s">
        <v>53</v>
      </c>
      <c r="B94" s="1" t="s">
        <v>96</v>
      </c>
      <c r="C94" s="1" t="str">
        <f t="shared" si="3"/>
        <v>Leelanau, Michigan</v>
      </c>
      <c r="D94" s="1" t="s">
        <v>6</v>
      </c>
      <c r="E94" s="1">
        <v>2405</v>
      </c>
      <c r="F94" s="1">
        <v>42</v>
      </c>
      <c r="G94" s="1">
        <f>_xlfn.IFNA(VLOOKUP(A94 &amp; "*", PopulationTable[#All],2,FALSE), " ")</f>
        <v>21902</v>
      </c>
      <c r="H94" s="1">
        <f t="shared" si="4"/>
        <v>0.10980732353209753</v>
      </c>
      <c r="I94" s="1">
        <f t="shared" si="5"/>
        <v>1.7463617463617465E-2</v>
      </c>
      <c r="J94" s="2">
        <v>44599.837741585303</v>
      </c>
    </row>
    <row r="95" spans="1:10" hidden="1" x14ac:dyDescent="0.3">
      <c r="A95" s="1" t="s">
        <v>53</v>
      </c>
      <c r="B95" s="1" t="s">
        <v>96</v>
      </c>
      <c r="C95" s="1" t="str">
        <f t="shared" si="3"/>
        <v>Leelanau, Michigan</v>
      </c>
      <c r="D95" s="1" t="s">
        <v>7</v>
      </c>
      <c r="E95" s="1">
        <v>1023</v>
      </c>
      <c r="F95" s="1">
        <v>5</v>
      </c>
      <c r="G95" s="1">
        <f>_xlfn.IFNA(VLOOKUP(A95 &amp; "*", PopulationTable[#All],2,FALSE), " ")</f>
        <v>21902</v>
      </c>
      <c r="H95" s="1">
        <f t="shared" si="4"/>
        <v>4.6708063190576202E-2</v>
      </c>
      <c r="I95" s="1">
        <f t="shared" si="5"/>
        <v>4.8875855327468231E-3</v>
      </c>
      <c r="J95" s="2">
        <v>44599.837741585303</v>
      </c>
    </row>
    <row r="96" spans="1:10" x14ac:dyDescent="0.3">
      <c r="A96" s="1" t="s">
        <v>54</v>
      </c>
      <c r="B96" s="1" t="s">
        <v>96</v>
      </c>
      <c r="C96" s="1" t="str">
        <f t="shared" si="3"/>
        <v>Lenawee, Michigan</v>
      </c>
      <c r="D96" s="1" t="s">
        <v>6</v>
      </c>
      <c r="E96" s="1">
        <v>19436</v>
      </c>
      <c r="F96" s="1">
        <v>275</v>
      </c>
      <c r="G96" s="1">
        <f>_xlfn.IFNA(VLOOKUP(A96 &amp; "*", PopulationTable[#All],2,FALSE), " ")</f>
        <v>99381</v>
      </c>
      <c r="H96" s="1">
        <f t="shared" si="4"/>
        <v>0.19557058190197321</v>
      </c>
      <c r="I96" s="1">
        <f t="shared" si="5"/>
        <v>1.414900185223297E-2</v>
      </c>
      <c r="J96" s="2">
        <v>44599.837741596799</v>
      </c>
    </row>
    <row r="97" spans="1:10" hidden="1" x14ac:dyDescent="0.3">
      <c r="A97" s="1" t="s">
        <v>54</v>
      </c>
      <c r="B97" s="1" t="s">
        <v>96</v>
      </c>
      <c r="C97" s="1" t="str">
        <f t="shared" si="3"/>
        <v>Lenawee, Michigan</v>
      </c>
      <c r="D97" s="1" t="s">
        <v>7</v>
      </c>
      <c r="E97" s="1">
        <v>4273</v>
      </c>
      <c r="F97" s="1">
        <v>17</v>
      </c>
      <c r="G97" s="1">
        <f>_xlfn.IFNA(VLOOKUP(A97 &amp; "*", PopulationTable[#All],2,FALSE), " ")</f>
        <v>99381</v>
      </c>
      <c r="H97" s="1">
        <f t="shared" si="4"/>
        <v>4.2996146144635296E-2</v>
      </c>
      <c r="I97" s="1">
        <f t="shared" si="5"/>
        <v>3.9784694593962087E-3</v>
      </c>
      <c r="J97" s="2">
        <v>44599.8377415992</v>
      </c>
    </row>
    <row r="98" spans="1:10" x14ac:dyDescent="0.3">
      <c r="A98" s="1" t="s">
        <v>55</v>
      </c>
      <c r="B98" s="1" t="s">
        <v>96</v>
      </c>
      <c r="C98" s="1" t="str">
        <f t="shared" si="3"/>
        <v>Livingston, Michigan</v>
      </c>
      <c r="D98" s="1" t="s">
        <v>6</v>
      </c>
      <c r="E98" s="1">
        <v>37270</v>
      </c>
      <c r="F98" s="1">
        <v>389</v>
      </c>
      <c r="G98" s="1">
        <f>_xlfn.IFNA(VLOOKUP(A98 &amp; "*", PopulationTable[#All],2,FALSE), " ")</f>
        <v>194410</v>
      </c>
      <c r="H98" s="1">
        <f t="shared" si="4"/>
        <v>0.19170824546062445</v>
      </c>
      <c r="I98" s="1">
        <f t="shared" si="5"/>
        <v>1.0437349074322512E-2</v>
      </c>
      <c r="J98" s="2">
        <v>44599.837741608098</v>
      </c>
    </row>
    <row r="99" spans="1:10" hidden="1" x14ac:dyDescent="0.3">
      <c r="A99" s="1" t="s">
        <v>55</v>
      </c>
      <c r="B99" s="1" t="s">
        <v>96</v>
      </c>
      <c r="C99" s="1" t="str">
        <f t="shared" si="3"/>
        <v>Livingston, Michigan</v>
      </c>
      <c r="D99" s="1" t="s">
        <v>7</v>
      </c>
      <c r="E99" s="1">
        <v>7129</v>
      </c>
      <c r="F99" s="1">
        <v>24</v>
      </c>
      <c r="G99" s="1">
        <f>_xlfn.IFNA(VLOOKUP(A99 &amp; "*", PopulationTable[#All],2,FALSE), " ")</f>
        <v>194410</v>
      </c>
      <c r="H99" s="1">
        <f t="shared" si="4"/>
        <v>3.6669924386605629E-2</v>
      </c>
      <c r="I99" s="1">
        <f t="shared" si="5"/>
        <v>3.3665310702763363E-3</v>
      </c>
      <c r="J99" s="2">
        <v>44599.837741608098</v>
      </c>
    </row>
    <row r="100" spans="1:10" x14ac:dyDescent="0.3">
      <c r="A100" s="1" t="s">
        <v>56</v>
      </c>
      <c r="B100" s="1" t="s">
        <v>96</v>
      </c>
      <c r="C100" s="1" t="str">
        <f t="shared" si="3"/>
        <v>Luce, Michigan</v>
      </c>
      <c r="D100" s="1" t="s">
        <v>6</v>
      </c>
      <c r="E100" s="1">
        <v>630</v>
      </c>
      <c r="F100" s="1">
        <v>7</v>
      </c>
      <c r="G100" s="1">
        <f>_xlfn.IFNA(VLOOKUP(A100 &amp; "*", PopulationTable[#All],2,FALSE), " ")</f>
        <v>5935</v>
      </c>
      <c r="H100" s="1">
        <f t="shared" si="4"/>
        <v>0.10614995787700084</v>
      </c>
      <c r="I100" s="1">
        <f t="shared" si="5"/>
        <v>1.1111111111111112E-2</v>
      </c>
      <c r="J100" s="2">
        <v>44599.837741608098</v>
      </c>
    </row>
    <row r="101" spans="1:10" hidden="1" x14ac:dyDescent="0.3">
      <c r="A101" s="1" t="s">
        <v>56</v>
      </c>
      <c r="B101" s="1" t="s">
        <v>96</v>
      </c>
      <c r="C101" s="1" t="str">
        <f t="shared" si="3"/>
        <v>Luce, Michigan</v>
      </c>
      <c r="D101" s="1" t="s">
        <v>7</v>
      </c>
      <c r="E101" s="1">
        <v>730</v>
      </c>
      <c r="F101" s="1">
        <v>1</v>
      </c>
      <c r="G101" s="1">
        <f>_xlfn.IFNA(VLOOKUP(A101 &amp; "*", PopulationTable[#All],2,FALSE), " ")</f>
        <v>5935</v>
      </c>
      <c r="H101" s="1">
        <f t="shared" si="4"/>
        <v>0.12299915754001685</v>
      </c>
      <c r="I101" s="1">
        <f t="shared" si="5"/>
        <v>1.3698630136986301E-3</v>
      </c>
      <c r="J101" s="2">
        <v>44599.837741608098</v>
      </c>
    </row>
    <row r="102" spans="1:10" x14ac:dyDescent="0.3">
      <c r="A102" s="1" t="s">
        <v>57</v>
      </c>
      <c r="B102" s="1" t="s">
        <v>96</v>
      </c>
      <c r="C102" s="1" t="str">
        <f t="shared" si="3"/>
        <v>MDOC, Michigan</v>
      </c>
      <c r="D102" s="1" t="s">
        <v>6</v>
      </c>
      <c r="E102" s="1">
        <v>26709</v>
      </c>
      <c r="F102" s="1">
        <v>166</v>
      </c>
      <c r="G102" s="1" t="str">
        <f>_xlfn.IFNA(VLOOKUP(A102 &amp; "*", PopulationTable[#All],2,FALSE), " ")</f>
        <v xml:space="preserve"> </v>
      </c>
      <c r="H102" s="1" t="str">
        <f t="shared" si="4"/>
        <v xml:space="preserve"> </v>
      </c>
      <c r="I102" s="1">
        <f t="shared" si="5"/>
        <v>6.215133475607473E-3</v>
      </c>
      <c r="J102" s="2">
        <v>44599.8377416195</v>
      </c>
    </row>
    <row r="103" spans="1:10" hidden="1" x14ac:dyDescent="0.3">
      <c r="A103" s="1" t="s">
        <v>57</v>
      </c>
      <c r="B103" s="1" t="s">
        <v>96</v>
      </c>
      <c r="C103" s="1" t="str">
        <f t="shared" si="3"/>
        <v>MDOC, Michigan</v>
      </c>
      <c r="D103" s="1" t="s">
        <v>7</v>
      </c>
      <c r="E103" s="1">
        <v>10006</v>
      </c>
      <c r="F103" s="1">
        <v>7</v>
      </c>
      <c r="G103" s="1" t="str">
        <f>_xlfn.IFNA(VLOOKUP(A103 &amp; "*", PopulationTable[#All],2,FALSE), " ")</f>
        <v xml:space="preserve"> </v>
      </c>
      <c r="H103" s="1" t="str">
        <f t="shared" si="4"/>
        <v xml:space="preserve"> </v>
      </c>
      <c r="I103" s="1">
        <f t="shared" si="5"/>
        <v>6.9958025184889069E-4</v>
      </c>
      <c r="J103" s="2">
        <v>44599.8377416195</v>
      </c>
    </row>
    <row r="104" spans="1:10" x14ac:dyDescent="0.3">
      <c r="A104" s="1" t="s">
        <v>58</v>
      </c>
      <c r="B104" s="1" t="s">
        <v>96</v>
      </c>
      <c r="C104" s="1" t="str">
        <f t="shared" si="3"/>
        <v>Mackinac, Michigan</v>
      </c>
      <c r="D104" s="1" t="s">
        <v>6</v>
      </c>
      <c r="E104" s="1">
        <v>1466</v>
      </c>
      <c r="F104" s="1">
        <v>26</v>
      </c>
      <c r="G104" s="1">
        <f>_xlfn.IFNA(VLOOKUP(A104 &amp; "*", PopulationTable[#All],2,FALSE), " ")</f>
        <v>10853</v>
      </c>
      <c r="H104" s="1">
        <f t="shared" si="4"/>
        <v>0.13507785865659264</v>
      </c>
      <c r="I104" s="1">
        <f t="shared" si="5"/>
        <v>1.7735334242837655E-2</v>
      </c>
      <c r="J104" s="2">
        <v>44599.8377416195</v>
      </c>
    </row>
    <row r="105" spans="1:10" hidden="1" x14ac:dyDescent="0.3">
      <c r="A105" s="1" t="s">
        <v>58</v>
      </c>
      <c r="B105" s="1" t="s">
        <v>96</v>
      </c>
      <c r="C105" s="1" t="str">
        <f t="shared" si="3"/>
        <v>Mackinac, Michigan</v>
      </c>
      <c r="D105" s="1" t="s">
        <v>7</v>
      </c>
      <c r="E105" s="1">
        <v>820</v>
      </c>
      <c r="F105" s="1">
        <v>2</v>
      </c>
      <c r="G105" s="1">
        <f>_xlfn.IFNA(VLOOKUP(A105 &amp; "*", PopulationTable[#All],2,FALSE), " ")</f>
        <v>10853</v>
      </c>
      <c r="H105" s="1">
        <f t="shared" si="4"/>
        <v>7.5555146042568869E-2</v>
      </c>
      <c r="I105" s="1">
        <f t="shared" si="5"/>
        <v>2.4390243902439024E-3</v>
      </c>
      <c r="J105" s="2">
        <v>44599.8377416195</v>
      </c>
    </row>
    <row r="106" spans="1:10" x14ac:dyDescent="0.3">
      <c r="A106" s="1" t="s">
        <v>59</v>
      </c>
      <c r="B106" s="1" t="s">
        <v>96</v>
      </c>
      <c r="C106" s="1" t="str">
        <f t="shared" si="3"/>
        <v>Macomb, Michigan</v>
      </c>
      <c r="D106" s="1" t="s">
        <v>6</v>
      </c>
      <c r="E106" s="1">
        <v>202147</v>
      </c>
      <c r="F106" s="1">
        <v>3408</v>
      </c>
      <c r="G106" s="1">
        <f>_xlfn.IFNA(VLOOKUP(A106 &amp; "*", PopulationTable[#All],2,FALSE), " ")</f>
        <v>877503</v>
      </c>
      <c r="H106" s="1">
        <f t="shared" si="4"/>
        <v>0.23036616399032253</v>
      </c>
      <c r="I106" s="1">
        <f t="shared" si="5"/>
        <v>1.6859018437077967E-2</v>
      </c>
      <c r="J106" s="2">
        <v>44599.837741665702</v>
      </c>
    </row>
    <row r="107" spans="1:10" hidden="1" x14ac:dyDescent="0.3">
      <c r="A107" s="1" t="s">
        <v>59</v>
      </c>
      <c r="B107" s="1" t="s">
        <v>96</v>
      </c>
      <c r="C107" s="1" t="str">
        <f t="shared" si="3"/>
        <v>Macomb, Michigan</v>
      </c>
      <c r="D107" s="1" t="s">
        <v>7</v>
      </c>
      <c r="E107" s="1">
        <v>18455</v>
      </c>
      <c r="F107" s="1">
        <v>223</v>
      </c>
      <c r="G107" s="1">
        <f>_xlfn.IFNA(VLOOKUP(A107 &amp; "*", PopulationTable[#All],2,FALSE), " ")</f>
        <v>877503</v>
      </c>
      <c r="H107" s="1">
        <f t="shared" si="4"/>
        <v>2.1031267129571068E-2</v>
      </c>
      <c r="I107" s="1">
        <f t="shared" si="5"/>
        <v>1.2083446220536439E-2</v>
      </c>
      <c r="J107" s="2">
        <v>44599.837741665702</v>
      </c>
    </row>
    <row r="108" spans="1:10" x14ac:dyDescent="0.3">
      <c r="A108" s="1" t="s">
        <v>60</v>
      </c>
      <c r="B108" s="1" t="s">
        <v>96</v>
      </c>
      <c r="C108" s="1" t="str">
        <f t="shared" si="3"/>
        <v>Manistee, Michigan</v>
      </c>
      <c r="D108" s="1" t="s">
        <v>6</v>
      </c>
      <c r="E108" s="1">
        <v>2650</v>
      </c>
      <c r="F108" s="1">
        <v>65</v>
      </c>
      <c r="G108" s="1">
        <f>_xlfn.IFNA(VLOOKUP(A108 &amp; "*", PopulationTable[#All],2,FALSE), " ")</f>
        <v>24867</v>
      </c>
      <c r="H108" s="1">
        <f t="shared" si="4"/>
        <v>0.10656693610005227</v>
      </c>
      <c r="I108" s="1">
        <f t="shared" si="5"/>
        <v>2.4528301886792454E-2</v>
      </c>
      <c r="J108" s="2">
        <v>44599.837741665702</v>
      </c>
    </row>
    <row r="109" spans="1:10" hidden="1" x14ac:dyDescent="0.3">
      <c r="A109" s="1" t="s">
        <v>60</v>
      </c>
      <c r="B109" s="1" t="s">
        <v>96</v>
      </c>
      <c r="C109" s="1" t="str">
        <f t="shared" si="3"/>
        <v>Manistee, Michigan</v>
      </c>
      <c r="D109" s="1" t="s">
        <v>7</v>
      </c>
      <c r="E109" s="1">
        <v>808</v>
      </c>
      <c r="F109" s="1">
        <v>10</v>
      </c>
      <c r="G109" s="1">
        <f>_xlfn.IFNA(VLOOKUP(A109 &amp; "*", PopulationTable[#All],2,FALSE), " ")</f>
        <v>24867</v>
      </c>
      <c r="H109" s="1">
        <f t="shared" si="4"/>
        <v>3.2492862025978203E-2</v>
      </c>
      <c r="I109" s="1">
        <f t="shared" si="5"/>
        <v>1.2376237623762377E-2</v>
      </c>
      <c r="J109" s="2">
        <v>44599.837741665702</v>
      </c>
    </row>
    <row r="110" spans="1:10" x14ac:dyDescent="0.3">
      <c r="A110" s="1" t="s">
        <v>61</v>
      </c>
      <c r="B110" s="1" t="s">
        <v>96</v>
      </c>
      <c r="C110" s="1" t="str">
        <f t="shared" si="3"/>
        <v>Marquette, Michigan</v>
      </c>
      <c r="D110" s="1" t="s">
        <v>6</v>
      </c>
      <c r="E110" s="1">
        <v>11418</v>
      </c>
      <c r="F110" s="1">
        <v>104</v>
      </c>
      <c r="G110" s="1">
        <f>_xlfn.IFNA(VLOOKUP(A110 &amp; "*", PopulationTable[#All],2,FALSE), " ")</f>
        <v>67653</v>
      </c>
      <c r="H110" s="1">
        <f t="shared" si="4"/>
        <v>0.16877300341448273</v>
      </c>
      <c r="I110" s="1">
        <f t="shared" si="5"/>
        <v>9.1084252933963921E-3</v>
      </c>
      <c r="J110" s="2">
        <v>44599.837741677198</v>
      </c>
    </row>
    <row r="111" spans="1:10" hidden="1" x14ac:dyDescent="0.3">
      <c r="A111" s="1" t="s">
        <v>61</v>
      </c>
      <c r="B111" s="1" t="s">
        <v>96</v>
      </c>
      <c r="C111" s="1" t="str">
        <f t="shared" si="3"/>
        <v>Marquette, Michigan</v>
      </c>
      <c r="D111" s="1" t="s">
        <v>7</v>
      </c>
      <c r="E111" s="1">
        <v>2939</v>
      </c>
      <c r="F111" s="1">
        <v>8</v>
      </c>
      <c r="G111" s="1">
        <f>_xlfn.IFNA(VLOOKUP(A111 &amp; "*", PopulationTable[#All],2,FALSE), " ")</f>
        <v>67653</v>
      </c>
      <c r="H111" s="1">
        <f t="shared" si="4"/>
        <v>4.3442271591799329E-2</v>
      </c>
      <c r="I111" s="1">
        <f t="shared" si="5"/>
        <v>2.7220142905750254E-3</v>
      </c>
      <c r="J111" s="2">
        <v>44599.837741677198</v>
      </c>
    </row>
    <row r="112" spans="1:10" x14ac:dyDescent="0.3">
      <c r="A112" s="1" t="s">
        <v>62</v>
      </c>
      <c r="B112" s="1" t="s">
        <v>96</v>
      </c>
      <c r="C112" s="1" t="str">
        <f t="shared" si="3"/>
        <v>Mason, Michigan</v>
      </c>
      <c r="D112" s="1" t="s">
        <v>6</v>
      </c>
      <c r="E112" s="1">
        <v>5804</v>
      </c>
      <c r="F112" s="1">
        <v>79</v>
      </c>
      <c r="G112" s="1">
        <f>_xlfn.IFNA(VLOOKUP(A112 &amp; "*", PopulationTable[#All],2,FALSE), " ")</f>
        <v>29324</v>
      </c>
      <c r="H112" s="1">
        <f t="shared" si="4"/>
        <v>0.19792661301323147</v>
      </c>
      <c r="I112" s="1">
        <f t="shared" si="5"/>
        <v>1.3611302549965541E-2</v>
      </c>
      <c r="J112" s="2">
        <v>44599.837741677198</v>
      </c>
    </row>
    <row r="113" spans="1:10" hidden="1" x14ac:dyDescent="0.3">
      <c r="A113" s="1" t="s">
        <v>62</v>
      </c>
      <c r="B113" s="1" t="s">
        <v>96</v>
      </c>
      <c r="C113" s="1" t="str">
        <f t="shared" si="3"/>
        <v>Mason, Michigan</v>
      </c>
      <c r="D113" s="1" t="s">
        <v>7</v>
      </c>
      <c r="E113" s="1">
        <v>509</v>
      </c>
      <c r="F113" s="1">
        <v>1</v>
      </c>
      <c r="G113" s="1">
        <f>_xlfn.IFNA(VLOOKUP(A113 &amp; "*", PopulationTable[#All],2,FALSE), " ")</f>
        <v>29324</v>
      </c>
      <c r="H113" s="1">
        <f t="shared" si="4"/>
        <v>1.7357795662256172E-2</v>
      </c>
      <c r="I113" s="1">
        <f t="shared" si="5"/>
        <v>1.9646365422396855E-3</v>
      </c>
      <c r="J113" s="2">
        <v>44599.837741677198</v>
      </c>
    </row>
    <row r="114" spans="1:10" x14ac:dyDescent="0.3">
      <c r="A114" s="1" t="s">
        <v>63</v>
      </c>
      <c r="B114" s="1" t="s">
        <v>96</v>
      </c>
      <c r="C114" s="1" t="str">
        <f t="shared" si="3"/>
        <v>Mecosta, Michigan</v>
      </c>
      <c r="D114" s="1" t="s">
        <v>6</v>
      </c>
      <c r="E114" s="1">
        <v>7599</v>
      </c>
      <c r="F114" s="1">
        <v>87</v>
      </c>
      <c r="G114" s="1">
        <f>_xlfn.IFNA(VLOOKUP(A114 &amp; "*", PopulationTable[#All],2,FALSE), " ")</f>
        <v>43612</v>
      </c>
      <c r="H114" s="1">
        <f t="shared" si="4"/>
        <v>0.17424103457763918</v>
      </c>
      <c r="I114" s="1">
        <f t="shared" si="5"/>
        <v>1.1448874851954205E-2</v>
      </c>
      <c r="J114" s="2">
        <v>44599.837741677198</v>
      </c>
    </row>
    <row r="115" spans="1:10" hidden="1" x14ac:dyDescent="0.3">
      <c r="A115" s="1" t="s">
        <v>63</v>
      </c>
      <c r="B115" s="1" t="s">
        <v>96</v>
      </c>
      <c r="C115" s="1" t="str">
        <f t="shared" si="3"/>
        <v>Mecosta, Michigan</v>
      </c>
      <c r="D115" s="1" t="s">
        <v>7</v>
      </c>
      <c r="E115" s="1">
        <v>698</v>
      </c>
      <c r="F115" s="1">
        <v>5</v>
      </c>
      <c r="G115" s="1">
        <f>_xlfn.IFNA(VLOOKUP(A115 &amp; "*", PopulationTable[#All],2,FALSE), " ")</f>
        <v>43612</v>
      </c>
      <c r="H115" s="1">
        <f t="shared" si="4"/>
        <v>1.6004769329542329E-2</v>
      </c>
      <c r="I115" s="1">
        <f t="shared" si="5"/>
        <v>7.1633237822349575E-3</v>
      </c>
      <c r="J115" s="2">
        <v>44599.837741677198</v>
      </c>
    </row>
    <row r="116" spans="1:10" x14ac:dyDescent="0.3">
      <c r="A116" s="1" t="s">
        <v>64</v>
      </c>
      <c r="B116" s="1" t="s">
        <v>96</v>
      </c>
      <c r="C116" s="1" t="str">
        <f t="shared" si="3"/>
        <v>Menominee, Michigan</v>
      </c>
      <c r="D116" s="1" t="s">
        <v>6</v>
      </c>
      <c r="E116" s="1">
        <v>3735</v>
      </c>
      <c r="F116" s="1">
        <v>59</v>
      </c>
      <c r="G116" s="1">
        <f>_xlfn.IFNA(VLOOKUP(A116 &amp; "*", PopulationTable[#All],2,FALSE), " ")</f>
        <v>22339</v>
      </c>
      <c r="H116" s="1">
        <f t="shared" si="4"/>
        <v>0.16719638300729667</v>
      </c>
      <c r="I116" s="1">
        <f t="shared" si="5"/>
        <v>1.5796519410977244E-2</v>
      </c>
      <c r="J116" s="2">
        <v>44599.837741677198</v>
      </c>
    </row>
    <row r="117" spans="1:10" hidden="1" x14ac:dyDescent="0.3">
      <c r="A117" s="1" t="s">
        <v>64</v>
      </c>
      <c r="B117" s="1" t="s">
        <v>96</v>
      </c>
      <c r="C117" s="1" t="str">
        <f t="shared" si="3"/>
        <v>Menominee, Michigan</v>
      </c>
      <c r="D117" s="1" t="s">
        <v>7</v>
      </c>
      <c r="E117" s="1">
        <v>1634</v>
      </c>
      <c r="F117" s="1">
        <v>9</v>
      </c>
      <c r="G117" s="1">
        <f>_xlfn.IFNA(VLOOKUP(A117 &amp; "*", PopulationTable[#All],2,FALSE), " ")</f>
        <v>22339</v>
      </c>
      <c r="H117" s="1">
        <f t="shared" si="4"/>
        <v>7.3145619768118536E-2</v>
      </c>
      <c r="I117" s="1">
        <f t="shared" si="5"/>
        <v>5.5079559363525096E-3</v>
      </c>
      <c r="J117" s="2">
        <v>44599.837741677198</v>
      </c>
    </row>
    <row r="118" spans="1:10" x14ac:dyDescent="0.3">
      <c r="A118" s="1" t="s">
        <v>65</v>
      </c>
      <c r="B118" s="1" t="s">
        <v>96</v>
      </c>
      <c r="C118" s="1" t="str">
        <f t="shared" si="3"/>
        <v>Midland, Michigan</v>
      </c>
      <c r="D118" s="1" t="s">
        <v>6</v>
      </c>
      <c r="E118" s="1">
        <v>16765</v>
      </c>
      <c r="F118" s="1">
        <v>193</v>
      </c>
      <c r="G118" s="1">
        <f>_xlfn.IFNA(VLOOKUP(A118 &amp; "*", PopulationTable[#All],2,FALSE), " ")</f>
        <v>82955</v>
      </c>
      <c r="H118" s="1">
        <f t="shared" si="4"/>
        <v>0.20209752275329998</v>
      </c>
      <c r="I118" s="1">
        <f t="shared" si="5"/>
        <v>1.1512078735460781E-2</v>
      </c>
      <c r="J118" s="2">
        <v>44599.837741688803</v>
      </c>
    </row>
    <row r="119" spans="1:10" hidden="1" x14ac:dyDescent="0.3">
      <c r="A119" s="1" t="s">
        <v>65</v>
      </c>
      <c r="B119" s="1" t="s">
        <v>96</v>
      </c>
      <c r="C119" s="1" t="str">
        <f t="shared" si="3"/>
        <v>Midland, Michigan</v>
      </c>
      <c r="D119" s="1" t="s">
        <v>7</v>
      </c>
      <c r="E119" s="1">
        <v>1574</v>
      </c>
      <c r="F119" s="1">
        <v>15</v>
      </c>
      <c r="G119" s="1">
        <f>_xlfn.IFNA(VLOOKUP(A119 &amp; "*", PopulationTable[#All],2,FALSE), " ")</f>
        <v>82955</v>
      </c>
      <c r="H119" s="1">
        <f t="shared" si="4"/>
        <v>1.8974142607437766E-2</v>
      </c>
      <c r="I119" s="1">
        <f t="shared" si="5"/>
        <v>9.5298602287166457E-3</v>
      </c>
      <c r="J119" s="2">
        <v>44599.837741688803</v>
      </c>
    </row>
    <row r="120" spans="1:10" x14ac:dyDescent="0.3">
      <c r="A120" s="1" t="s">
        <v>66</v>
      </c>
      <c r="B120" s="1" t="s">
        <v>96</v>
      </c>
      <c r="C120" s="1" t="str">
        <f t="shared" si="3"/>
        <v>Missaukee, Michigan</v>
      </c>
      <c r="D120" s="1" t="s">
        <v>6</v>
      </c>
      <c r="E120" s="1">
        <v>2147</v>
      </c>
      <c r="F120" s="1">
        <v>42</v>
      </c>
      <c r="G120" s="1">
        <f>_xlfn.IFNA(VLOOKUP(A120 &amp; "*", PopulationTable[#All],2,FALSE), " ")</f>
        <v>15169</v>
      </c>
      <c r="H120" s="1">
        <f t="shared" si="4"/>
        <v>0.14153866438130397</v>
      </c>
      <c r="I120" s="1">
        <f t="shared" si="5"/>
        <v>1.9562179785747556E-2</v>
      </c>
      <c r="J120" s="2">
        <v>44599.837741688803</v>
      </c>
    </row>
    <row r="121" spans="1:10" hidden="1" x14ac:dyDescent="0.3">
      <c r="A121" s="1" t="s">
        <v>66</v>
      </c>
      <c r="B121" s="1" t="s">
        <v>96</v>
      </c>
      <c r="C121" s="1" t="str">
        <f t="shared" si="3"/>
        <v>Missaukee, Michigan</v>
      </c>
      <c r="D121" s="1" t="s">
        <v>7</v>
      </c>
      <c r="E121" s="1">
        <v>636</v>
      </c>
      <c r="F121" s="1">
        <v>15</v>
      </c>
      <c r="G121" s="1">
        <f>_xlfn.IFNA(VLOOKUP(A121 &amp; "*", PopulationTable[#All],2,FALSE), " ")</f>
        <v>15169</v>
      </c>
      <c r="H121" s="1">
        <f t="shared" si="4"/>
        <v>4.1927615531676447E-2</v>
      </c>
      <c r="I121" s="1">
        <f t="shared" si="5"/>
        <v>2.358490566037736E-2</v>
      </c>
      <c r="J121" s="2">
        <v>44599.837741688803</v>
      </c>
    </row>
    <row r="122" spans="1:10" x14ac:dyDescent="0.3">
      <c r="A122" s="1" t="s">
        <v>67</v>
      </c>
      <c r="B122" s="1" t="s">
        <v>96</v>
      </c>
      <c r="C122" s="1" t="str">
        <f t="shared" si="3"/>
        <v>Monroe, Michigan</v>
      </c>
      <c r="D122" s="1" t="s">
        <v>6</v>
      </c>
      <c r="E122" s="1">
        <v>31061</v>
      </c>
      <c r="F122" s="1">
        <v>390</v>
      </c>
      <c r="G122" s="1">
        <f>_xlfn.IFNA(VLOOKUP(A122 &amp; "*", PopulationTable[#All],2,FALSE), " ")</f>
        <v>151478</v>
      </c>
      <c r="H122" s="1">
        <f t="shared" si="4"/>
        <v>0.20505287896592245</v>
      </c>
      <c r="I122" s="1">
        <f t="shared" si="5"/>
        <v>1.2555938314928688E-2</v>
      </c>
      <c r="J122" s="2">
        <v>44599.837741688803</v>
      </c>
    </row>
    <row r="123" spans="1:10" hidden="1" x14ac:dyDescent="0.3">
      <c r="A123" s="1" t="s">
        <v>67</v>
      </c>
      <c r="B123" s="1" t="s">
        <v>96</v>
      </c>
      <c r="C123" s="1" t="str">
        <f t="shared" si="3"/>
        <v>Monroe, Michigan</v>
      </c>
      <c r="D123" s="1" t="s">
        <v>7</v>
      </c>
      <c r="E123" s="1">
        <v>5814</v>
      </c>
      <c r="F123" s="1">
        <v>44</v>
      </c>
      <c r="G123" s="1">
        <f>_xlfn.IFNA(VLOOKUP(A123 &amp; "*", PopulationTable[#All],2,FALSE), " ")</f>
        <v>151478</v>
      </c>
      <c r="H123" s="1">
        <f t="shared" si="4"/>
        <v>3.8381811220111174E-2</v>
      </c>
      <c r="I123" s="1">
        <f t="shared" si="5"/>
        <v>7.5679394564843478E-3</v>
      </c>
      <c r="J123" s="2">
        <v>44599.8377417007</v>
      </c>
    </row>
    <row r="124" spans="1:10" x14ac:dyDescent="0.3">
      <c r="A124" s="1" t="s">
        <v>68</v>
      </c>
      <c r="B124" s="1" t="s">
        <v>96</v>
      </c>
      <c r="C124" s="1" t="str">
        <f t="shared" si="3"/>
        <v>Montcalm, Michigan</v>
      </c>
      <c r="D124" s="1" t="s">
        <v>6</v>
      </c>
      <c r="E124" s="1">
        <v>12808</v>
      </c>
      <c r="F124" s="1">
        <v>188</v>
      </c>
      <c r="G124" s="1">
        <f>_xlfn.IFNA(VLOOKUP(A124 &amp; "*", PopulationTable[#All],2,FALSE), " ")</f>
        <v>63744</v>
      </c>
      <c r="H124" s="1">
        <f t="shared" si="4"/>
        <v>0.20092871485943775</v>
      </c>
      <c r="I124" s="1">
        <f t="shared" si="5"/>
        <v>1.4678326046221112E-2</v>
      </c>
      <c r="J124" s="2">
        <v>44599.8377417007</v>
      </c>
    </row>
    <row r="125" spans="1:10" hidden="1" x14ac:dyDescent="0.3">
      <c r="A125" s="1" t="s">
        <v>68</v>
      </c>
      <c r="B125" s="1" t="s">
        <v>96</v>
      </c>
      <c r="C125" s="1" t="str">
        <f t="shared" si="3"/>
        <v>Montcalm, Michigan</v>
      </c>
      <c r="D125" s="1" t="s">
        <v>7</v>
      </c>
      <c r="E125" s="1">
        <v>1700</v>
      </c>
      <c r="F125" s="1">
        <v>5</v>
      </c>
      <c r="G125" s="1">
        <f>_xlfn.IFNA(VLOOKUP(A125 &amp; "*", PopulationTable[#All],2,FALSE), " ")</f>
        <v>63744</v>
      </c>
      <c r="H125" s="1">
        <f t="shared" si="4"/>
        <v>2.6669176706827308E-2</v>
      </c>
      <c r="I125" s="1">
        <f t="shared" si="5"/>
        <v>2.9411764705882353E-3</v>
      </c>
      <c r="J125" s="2">
        <v>44599.8377417007</v>
      </c>
    </row>
    <row r="126" spans="1:10" x14ac:dyDescent="0.3">
      <c r="A126" s="1" t="s">
        <v>69</v>
      </c>
      <c r="B126" s="1" t="s">
        <v>96</v>
      </c>
      <c r="C126" s="1" t="str">
        <f t="shared" si="3"/>
        <v>Montmorency, Michigan</v>
      </c>
      <c r="D126" s="1" t="s">
        <v>6</v>
      </c>
      <c r="E126" s="1">
        <v>1220</v>
      </c>
      <c r="F126" s="1">
        <v>43</v>
      </c>
      <c r="G126" s="1">
        <f>_xlfn.IFNA(VLOOKUP(A126 &amp; "*", PopulationTable[#All],2,FALSE), " ")</f>
        <v>9487</v>
      </c>
      <c r="H126" s="1">
        <f t="shared" si="4"/>
        <v>0.12859702751133129</v>
      </c>
      <c r="I126" s="1">
        <f t="shared" si="5"/>
        <v>3.5245901639344261E-2</v>
      </c>
      <c r="J126" s="2">
        <v>44599.8377417007</v>
      </c>
    </row>
    <row r="127" spans="1:10" hidden="1" x14ac:dyDescent="0.3">
      <c r="A127" s="1" t="s">
        <v>69</v>
      </c>
      <c r="B127" s="1" t="s">
        <v>96</v>
      </c>
      <c r="C127" s="1" t="str">
        <f t="shared" si="3"/>
        <v>Montmorency, Michigan</v>
      </c>
      <c r="D127" s="1" t="s">
        <v>7</v>
      </c>
      <c r="E127" s="1">
        <v>439</v>
      </c>
      <c r="F127" s="1">
        <v>2</v>
      </c>
      <c r="G127" s="1">
        <f>_xlfn.IFNA(VLOOKUP(A127 &amp; "*", PopulationTable[#All],2,FALSE), " ")</f>
        <v>9487</v>
      </c>
      <c r="H127" s="1">
        <f t="shared" si="4"/>
        <v>4.6273848424159374E-2</v>
      </c>
      <c r="I127" s="1">
        <f t="shared" si="5"/>
        <v>4.5558086560364463E-3</v>
      </c>
      <c r="J127" s="2">
        <v>44599.8377417007</v>
      </c>
    </row>
    <row r="128" spans="1:10" x14ac:dyDescent="0.3">
      <c r="A128" s="1" t="s">
        <v>70</v>
      </c>
      <c r="B128" s="1" t="s">
        <v>96</v>
      </c>
      <c r="C128" s="1" t="str">
        <f t="shared" si="3"/>
        <v>Muskegon, Michigan</v>
      </c>
      <c r="D128" s="1" t="s">
        <v>6</v>
      </c>
      <c r="E128" s="1">
        <v>36022</v>
      </c>
      <c r="F128" s="1">
        <v>551</v>
      </c>
      <c r="G128" s="1">
        <f>_xlfn.IFNA(VLOOKUP(A128 &amp; "*", PopulationTable[#All],2,FALSE), " ")</f>
        <v>173467</v>
      </c>
      <c r="H128" s="1">
        <f t="shared" si="4"/>
        <v>0.20765909366046567</v>
      </c>
      <c r="I128" s="1">
        <f t="shared" si="5"/>
        <v>1.5296207872966521E-2</v>
      </c>
      <c r="J128" s="2">
        <v>44599.837741711897</v>
      </c>
    </row>
    <row r="129" spans="1:10" hidden="1" x14ac:dyDescent="0.3">
      <c r="A129" s="1" t="s">
        <v>70</v>
      </c>
      <c r="B129" s="1" t="s">
        <v>96</v>
      </c>
      <c r="C129" s="1" t="str">
        <f t="shared" si="3"/>
        <v>Muskegon, Michigan</v>
      </c>
      <c r="D129" s="1" t="s">
        <v>7</v>
      </c>
      <c r="E129" s="1">
        <v>2218</v>
      </c>
      <c r="F129" s="1">
        <v>27</v>
      </c>
      <c r="G129" s="1">
        <f>_xlfn.IFNA(VLOOKUP(A129 &amp; "*", PopulationTable[#All],2,FALSE), " ")</f>
        <v>173467</v>
      </c>
      <c r="H129" s="1">
        <f t="shared" si="4"/>
        <v>1.2786293646630194E-2</v>
      </c>
      <c r="I129" s="1">
        <f t="shared" si="5"/>
        <v>1.2173128944995492E-2</v>
      </c>
      <c r="J129" s="2">
        <v>44599.837741711897</v>
      </c>
    </row>
    <row r="130" spans="1:10" x14ac:dyDescent="0.3">
      <c r="A130" s="1" t="s">
        <v>71</v>
      </c>
      <c r="B130" s="1" t="s">
        <v>96</v>
      </c>
      <c r="C130" s="1" t="str">
        <f t="shared" si="3"/>
        <v>Newaygo, Michigan</v>
      </c>
      <c r="D130" s="1" t="s">
        <v>6</v>
      </c>
      <c r="E130" s="1">
        <v>10143</v>
      </c>
      <c r="F130" s="1">
        <v>141</v>
      </c>
      <c r="G130" s="1">
        <f>_xlfn.IFNA(VLOOKUP(A130 &amp; "*", PopulationTable[#All],2,FALSE), " ")</f>
        <v>49403</v>
      </c>
      <c r="H130" s="1">
        <f t="shared" si="4"/>
        <v>0.20531141833491892</v>
      </c>
      <c r="I130" s="1">
        <f t="shared" si="5"/>
        <v>1.3901212658976633E-2</v>
      </c>
      <c r="J130" s="2">
        <v>44599.837741711897</v>
      </c>
    </row>
    <row r="131" spans="1:10" hidden="1" x14ac:dyDescent="0.3">
      <c r="A131" s="1" t="s">
        <v>71</v>
      </c>
      <c r="B131" s="1" t="s">
        <v>96</v>
      </c>
      <c r="C131" s="1" t="str">
        <f t="shared" ref="C131:C176" si="6">_xlfn.CONCAT(A131,", ",B131)</f>
        <v>Newaygo, Michigan</v>
      </c>
      <c r="D131" s="1" t="s">
        <v>7</v>
      </c>
      <c r="E131" s="1">
        <v>935</v>
      </c>
      <c r="F131" s="1">
        <v>7</v>
      </c>
      <c r="G131" s="1">
        <f>_xlfn.IFNA(VLOOKUP(A131 &amp; "*", PopulationTable[#All],2,FALSE), " ")</f>
        <v>49403</v>
      </c>
      <c r="H131" s="1">
        <f t="shared" ref="H131:H176" si="7">IFERROR(E131/G131," ")</f>
        <v>1.8925976155294212E-2</v>
      </c>
      <c r="I131" s="1">
        <f t="shared" ref="I131:I176" si="8">IFERROR(F131/E131, " ")</f>
        <v>7.4866310160427805E-3</v>
      </c>
      <c r="J131" s="2">
        <v>44599.837741711897</v>
      </c>
    </row>
    <row r="132" spans="1:10" x14ac:dyDescent="0.3">
      <c r="A132" s="1" t="s">
        <v>72</v>
      </c>
      <c r="B132" s="1" t="s">
        <v>96</v>
      </c>
      <c r="C132" s="1" t="str">
        <f t="shared" si="6"/>
        <v>Oakland, Michigan</v>
      </c>
      <c r="D132" s="1" t="s">
        <v>6</v>
      </c>
      <c r="E132" s="1">
        <v>245239</v>
      </c>
      <c r="F132" s="1">
        <v>3245</v>
      </c>
      <c r="G132" s="1">
        <f>_xlfn.IFNA(VLOOKUP(A132 &amp; "*", PopulationTable[#All],2,FALSE), " ")</f>
        <v>1260254</v>
      </c>
      <c r="H132" s="1">
        <f t="shared" si="7"/>
        <v>0.19459489912351002</v>
      </c>
      <c r="I132" s="1">
        <f t="shared" si="8"/>
        <v>1.3231990017900905E-2</v>
      </c>
      <c r="J132" s="2">
        <v>44599.837741758398</v>
      </c>
    </row>
    <row r="133" spans="1:10" hidden="1" x14ac:dyDescent="0.3">
      <c r="A133" s="1" t="s">
        <v>72</v>
      </c>
      <c r="B133" s="1" t="s">
        <v>96</v>
      </c>
      <c r="C133" s="1" t="str">
        <f t="shared" si="6"/>
        <v>Oakland, Michigan</v>
      </c>
      <c r="D133" s="1" t="s">
        <v>7</v>
      </c>
      <c r="E133" s="1">
        <v>30217</v>
      </c>
      <c r="F133" s="1">
        <v>285</v>
      </c>
      <c r="G133" s="1">
        <f>_xlfn.IFNA(VLOOKUP(A133 &amp; "*", PopulationTable[#All],2,FALSE), " ")</f>
        <v>1260254</v>
      </c>
      <c r="H133" s="1">
        <f t="shared" si="7"/>
        <v>2.3976912590636491E-2</v>
      </c>
      <c r="I133" s="1">
        <f t="shared" si="8"/>
        <v>9.4317768143760139E-3</v>
      </c>
      <c r="J133" s="2">
        <v>44599.837741769603</v>
      </c>
    </row>
    <row r="134" spans="1:10" x14ac:dyDescent="0.3">
      <c r="A134" s="1" t="s">
        <v>73</v>
      </c>
      <c r="B134" s="1" t="s">
        <v>96</v>
      </c>
      <c r="C134" s="1" t="str">
        <f t="shared" si="6"/>
        <v>Oceana, Michigan</v>
      </c>
      <c r="D134" s="1" t="s">
        <v>6</v>
      </c>
      <c r="E134" s="1">
        <v>5595</v>
      </c>
      <c r="F134" s="1">
        <v>80</v>
      </c>
      <c r="G134" s="1">
        <f>_xlfn.IFNA(VLOOKUP(A134 &amp; "*", PopulationTable[#All],2,FALSE), " ")</f>
        <v>26203</v>
      </c>
      <c r="H134" s="1">
        <f t="shared" si="7"/>
        <v>0.21352516887379308</v>
      </c>
      <c r="I134" s="1">
        <f t="shared" si="8"/>
        <v>1.4298480786416443E-2</v>
      </c>
      <c r="J134" s="2">
        <v>44599.837741769603</v>
      </c>
    </row>
    <row r="135" spans="1:10" hidden="1" x14ac:dyDescent="0.3">
      <c r="A135" s="1" t="s">
        <v>73</v>
      </c>
      <c r="B135" s="1" t="s">
        <v>96</v>
      </c>
      <c r="C135" s="1" t="str">
        <f t="shared" si="6"/>
        <v>Oceana, Michigan</v>
      </c>
      <c r="D135" s="1" t="s">
        <v>7</v>
      </c>
      <c r="E135" s="1">
        <v>465</v>
      </c>
      <c r="F135" s="1">
        <v>7</v>
      </c>
      <c r="G135" s="1">
        <f>_xlfn.IFNA(VLOOKUP(A135 &amp; "*", PopulationTable[#All],2,FALSE), " ")</f>
        <v>26203</v>
      </c>
      <c r="H135" s="1">
        <f t="shared" si="7"/>
        <v>1.7746059611494867E-2</v>
      </c>
      <c r="I135" s="1">
        <f t="shared" si="8"/>
        <v>1.5053763440860216E-2</v>
      </c>
      <c r="J135" s="2">
        <v>44599.837741769603</v>
      </c>
    </row>
    <row r="136" spans="1:10" x14ac:dyDescent="0.3">
      <c r="A136" s="1" t="s">
        <v>74</v>
      </c>
      <c r="B136" s="1" t="s">
        <v>96</v>
      </c>
      <c r="C136" s="1" t="str">
        <f t="shared" si="6"/>
        <v>Ogemaw, Michigan</v>
      </c>
      <c r="D136" s="1" t="s">
        <v>6</v>
      </c>
      <c r="E136" s="1">
        <v>3508</v>
      </c>
      <c r="F136" s="1">
        <v>80</v>
      </c>
      <c r="G136" s="1">
        <f>_xlfn.IFNA(VLOOKUP(A136 &amp; "*", PopulationTable[#All],2,FALSE), " ")</f>
        <v>21342</v>
      </c>
      <c r="H136" s="1">
        <f t="shared" si="7"/>
        <v>0.16437072439321526</v>
      </c>
      <c r="I136" s="1">
        <f t="shared" si="8"/>
        <v>2.2805017103762829E-2</v>
      </c>
      <c r="J136" s="2">
        <v>44599.837741769603</v>
      </c>
    </row>
    <row r="137" spans="1:10" hidden="1" x14ac:dyDescent="0.3">
      <c r="A137" s="1" t="s">
        <v>74</v>
      </c>
      <c r="B137" s="1" t="s">
        <v>96</v>
      </c>
      <c r="C137" s="1" t="str">
        <f t="shared" si="6"/>
        <v>Ogemaw, Michigan</v>
      </c>
      <c r="D137" s="1" t="s">
        <v>7</v>
      </c>
      <c r="E137" s="1">
        <v>661</v>
      </c>
      <c r="F137" s="1">
        <v>9</v>
      </c>
      <c r="G137" s="1">
        <f>_xlfn.IFNA(VLOOKUP(A137 &amp; "*", PopulationTable[#All],2,FALSE), " ")</f>
        <v>21342</v>
      </c>
      <c r="H137" s="1">
        <f t="shared" si="7"/>
        <v>3.0971792709211882E-2</v>
      </c>
      <c r="I137" s="1">
        <f t="shared" si="8"/>
        <v>1.3615733736762481E-2</v>
      </c>
      <c r="J137" s="2">
        <v>44599.837741769603</v>
      </c>
    </row>
    <row r="138" spans="1:10" x14ac:dyDescent="0.3">
      <c r="A138" s="1" t="s">
        <v>75</v>
      </c>
      <c r="B138" s="1" t="s">
        <v>96</v>
      </c>
      <c r="C138" s="1" t="str">
        <f t="shared" si="6"/>
        <v>Ontonagon, Michigan</v>
      </c>
      <c r="D138" s="1" t="s">
        <v>6</v>
      </c>
      <c r="E138" s="1">
        <v>838</v>
      </c>
      <c r="F138" s="1">
        <v>32</v>
      </c>
      <c r="G138" s="1">
        <f>_xlfn.IFNA(VLOOKUP(A138 &amp; "*", PopulationTable[#All],2,FALSE), " ")</f>
        <v>5477</v>
      </c>
      <c r="H138" s="1">
        <f t="shared" si="7"/>
        <v>0.15300346905240095</v>
      </c>
      <c r="I138" s="1">
        <f t="shared" si="8"/>
        <v>3.8186157517899763E-2</v>
      </c>
      <c r="J138" s="2">
        <v>44599.837741769603</v>
      </c>
    </row>
    <row r="139" spans="1:10" hidden="1" x14ac:dyDescent="0.3">
      <c r="A139" s="1" t="s">
        <v>75</v>
      </c>
      <c r="B139" s="1" t="s">
        <v>96</v>
      </c>
      <c r="C139" s="1" t="str">
        <f t="shared" si="6"/>
        <v>Ontonagon, Michigan</v>
      </c>
      <c r="D139" s="1" t="s">
        <v>7</v>
      </c>
      <c r="E139" s="1">
        <v>99</v>
      </c>
      <c r="F139" s="1">
        <v>2</v>
      </c>
      <c r="G139" s="1">
        <f>_xlfn.IFNA(VLOOKUP(A139 &amp; "*", PopulationTable[#All],2,FALSE), " ")</f>
        <v>5477</v>
      </c>
      <c r="H139" s="1">
        <f t="shared" si="7"/>
        <v>1.8075588825999633E-2</v>
      </c>
      <c r="I139" s="1">
        <f t="shared" si="8"/>
        <v>2.0202020202020204E-2</v>
      </c>
      <c r="J139" s="2">
        <v>44599.837741769603</v>
      </c>
    </row>
    <row r="140" spans="1:10" x14ac:dyDescent="0.3">
      <c r="A140" s="1" t="s">
        <v>76</v>
      </c>
      <c r="B140" s="1" t="s">
        <v>96</v>
      </c>
      <c r="C140" s="1" t="str">
        <f t="shared" si="6"/>
        <v>Osceola, Michigan</v>
      </c>
      <c r="D140" s="1" t="s">
        <v>6</v>
      </c>
      <c r="E140" s="1">
        <v>4076</v>
      </c>
      <c r="F140" s="1">
        <v>69</v>
      </c>
      <c r="G140" s="1">
        <f>_xlfn.IFNA(VLOOKUP(A140 &amp; "*", PopulationTable[#All],2,FALSE), " ")</f>
        <v>23709</v>
      </c>
      <c r="H140" s="1">
        <f t="shared" si="7"/>
        <v>0.17191783710827113</v>
      </c>
      <c r="I140" s="1">
        <f t="shared" si="8"/>
        <v>1.6928361138370953E-2</v>
      </c>
      <c r="J140" s="2">
        <v>44599.837741769603</v>
      </c>
    </row>
    <row r="141" spans="1:10" hidden="1" x14ac:dyDescent="0.3">
      <c r="A141" s="1" t="s">
        <v>76</v>
      </c>
      <c r="B141" s="1" t="s">
        <v>96</v>
      </c>
      <c r="C141" s="1" t="str">
        <f t="shared" si="6"/>
        <v>Osceola, Michigan</v>
      </c>
      <c r="D141" s="1" t="s">
        <v>7</v>
      </c>
      <c r="E141" s="1">
        <v>721</v>
      </c>
      <c r="F141" s="1">
        <v>1</v>
      </c>
      <c r="G141" s="1">
        <f>_xlfn.IFNA(VLOOKUP(A141 &amp; "*", PopulationTable[#All],2,FALSE), " ")</f>
        <v>23709</v>
      </c>
      <c r="H141" s="1">
        <f t="shared" si="7"/>
        <v>3.0410392677886033E-2</v>
      </c>
      <c r="I141" s="1">
        <f t="shared" si="8"/>
        <v>1.3869625520110957E-3</v>
      </c>
      <c r="J141" s="2">
        <v>44599.837741769603</v>
      </c>
    </row>
    <row r="142" spans="1:10" x14ac:dyDescent="0.3">
      <c r="A142" s="1" t="s">
        <v>77</v>
      </c>
      <c r="B142" s="1" t="s">
        <v>96</v>
      </c>
      <c r="C142" s="1" t="str">
        <f t="shared" si="6"/>
        <v>Oscoda, Michigan</v>
      </c>
      <c r="D142" s="1" t="s">
        <v>6</v>
      </c>
      <c r="E142" s="1">
        <v>1146</v>
      </c>
      <c r="F142" s="1">
        <v>50</v>
      </c>
      <c r="G142" s="1">
        <f>_xlfn.IFNA(VLOOKUP(A142 &amp; "*", PopulationTable[#All],2,FALSE), " ")</f>
        <v>8292</v>
      </c>
      <c r="H142" s="1">
        <f t="shared" si="7"/>
        <v>0.13820549927641099</v>
      </c>
      <c r="I142" s="1">
        <f t="shared" si="8"/>
        <v>4.3630017452006981E-2</v>
      </c>
      <c r="J142" s="2">
        <v>44599.837741769603</v>
      </c>
    </row>
    <row r="143" spans="1:10" hidden="1" x14ac:dyDescent="0.3">
      <c r="A143" s="1" t="s">
        <v>77</v>
      </c>
      <c r="B143" s="1" t="s">
        <v>96</v>
      </c>
      <c r="C143" s="1" t="str">
        <f t="shared" si="6"/>
        <v>Oscoda, Michigan</v>
      </c>
      <c r="D143" s="1" t="s">
        <v>7</v>
      </c>
      <c r="E143" s="1">
        <v>256</v>
      </c>
      <c r="F143" s="1">
        <v>3</v>
      </c>
      <c r="G143" s="1">
        <f>_xlfn.IFNA(VLOOKUP(A143 &amp; "*", PopulationTable[#All],2,FALSE), " ")</f>
        <v>8292</v>
      </c>
      <c r="H143" s="1">
        <f t="shared" si="7"/>
        <v>3.0873130728412929E-2</v>
      </c>
      <c r="I143" s="1">
        <f t="shared" si="8"/>
        <v>1.171875E-2</v>
      </c>
      <c r="J143" s="2">
        <v>44599.837741769603</v>
      </c>
    </row>
    <row r="144" spans="1:10" x14ac:dyDescent="0.3">
      <c r="A144" s="1" t="s">
        <v>78</v>
      </c>
      <c r="B144" s="1" t="s">
        <v>96</v>
      </c>
      <c r="C144" s="1" t="str">
        <f t="shared" si="6"/>
        <v>Otsego, Michigan</v>
      </c>
      <c r="D144" s="1" t="s">
        <v>6</v>
      </c>
      <c r="E144" s="1">
        <v>3917</v>
      </c>
      <c r="F144" s="1">
        <v>76</v>
      </c>
      <c r="G144" s="1">
        <f>_xlfn.IFNA(VLOOKUP(A144 &amp; "*", PopulationTable[#All],2,FALSE), " ")</f>
        <v>24749</v>
      </c>
      <c r="H144" s="1">
        <f t="shared" si="7"/>
        <v>0.15826902097054427</v>
      </c>
      <c r="I144" s="1">
        <f t="shared" si="8"/>
        <v>1.9402604033699259E-2</v>
      </c>
      <c r="J144" s="2">
        <v>44599.837741781099</v>
      </c>
    </row>
    <row r="145" spans="1:10" hidden="1" x14ac:dyDescent="0.3">
      <c r="A145" s="1" t="s">
        <v>78</v>
      </c>
      <c r="B145" s="1" t="s">
        <v>96</v>
      </c>
      <c r="C145" s="1" t="str">
        <f t="shared" si="6"/>
        <v>Otsego, Michigan</v>
      </c>
      <c r="D145" s="1" t="s">
        <v>7</v>
      </c>
      <c r="E145" s="1">
        <v>1452</v>
      </c>
      <c r="F145" s="1">
        <v>15</v>
      </c>
      <c r="G145" s="1">
        <f>_xlfn.IFNA(VLOOKUP(A145 &amp; "*", PopulationTable[#All],2,FALSE), " ")</f>
        <v>24749</v>
      </c>
      <c r="H145" s="1">
        <f t="shared" si="7"/>
        <v>5.8669037132813448E-2</v>
      </c>
      <c r="I145" s="1">
        <f t="shared" si="8"/>
        <v>1.0330578512396695E-2</v>
      </c>
      <c r="J145" s="2">
        <v>44599.837741781099</v>
      </c>
    </row>
    <row r="146" spans="1:10" x14ac:dyDescent="0.3">
      <c r="A146" s="1" t="s">
        <v>79</v>
      </c>
      <c r="B146" s="1" t="s">
        <v>96</v>
      </c>
      <c r="C146" s="1" t="str">
        <f t="shared" si="6"/>
        <v>Ottawa, Michigan</v>
      </c>
      <c r="D146" s="1" t="s">
        <v>6</v>
      </c>
      <c r="E146" s="1">
        <v>65256</v>
      </c>
      <c r="F146" s="1">
        <v>628</v>
      </c>
      <c r="G146" s="1">
        <f>_xlfn.IFNA(VLOOKUP(A146 &amp; "*", PopulationTable[#All],2,FALSE), " ")</f>
        <v>297896</v>
      </c>
      <c r="H146" s="1">
        <f t="shared" si="7"/>
        <v>0.21905631495555497</v>
      </c>
      <c r="I146" s="1">
        <f t="shared" si="8"/>
        <v>9.6236361407380164E-3</v>
      </c>
      <c r="J146" s="2">
        <v>44599.837741793002</v>
      </c>
    </row>
    <row r="147" spans="1:10" hidden="1" x14ac:dyDescent="0.3">
      <c r="A147" s="1" t="s">
        <v>79</v>
      </c>
      <c r="B147" s="1" t="s">
        <v>96</v>
      </c>
      <c r="C147" s="1" t="str">
        <f t="shared" si="6"/>
        <v>Ottawa, Michigan</v>
      </c>
      <c r="D147" s="1" t="s">
        <v>7</v>
      </c>
      <c r="E147" s="1">
        <v>7193</v>
      </c>
      <c r="F147" s="1">
        <v>115</v>
      </c>
      <c r="G147" s="1">
        <f>_xlfn.IFNA(VLOOKUP(A147 &amp; "*", PopulationTable[#All],2,FALSE), " ")</f>
        <v>297896</v>
      </c>
      <c r="H147" s="1">
        <f t="shared" si="7"/>
        <v>2.41460106882939E-2</v>
      </c>
      <c r="I147" s="1">
        <f t="shared" si="8"/>
        <v>1.5987765883497845E-2</v>
      </c>
      <c r="J147" s="2">
        <v>44599.837741793002</v>
      </c>
    </row>
    <row r="148" spans="1:10" x14ac:dyDescent="0.3">
      <c r="A148" s="1" t="s">
        <v>80</v>
      </c>
      <c r="B148" s="1" t="s">
        <v>96</v>
      </c>
      <c r="C148" s="1" t="str">
        <f t="shared" si="6"/>
        <v>Out-of-State, Michigan</v>
      </c>
      <c r="D148" s="1" t="s">
        <v>6</v>
      </c>
      <c r="E148" s="1">
        <v>5371</v>
      </c>
      <c r="F148" s="1">
        <v>34</v>
      </c>
      <c r="G148" s="1" t="str">
        <f>_xlfn.IFNA(VLOOKUP(A148 &amp; "*", PopulationTable[#All],2,FALSE), " ")</f>
        <v xml:space="preserve"> </v>
      </c>
      <c r="H148" s="1" t="str">
        <f t="shared" si="7"/>
        <v xml:space="preserve"> </v>
      </c>
      <c r="I148" s="1">
        <f t="shared" si="8"/>
        <v>6.3302923105566936E-3</v>
      </c>
      <c r="J148" s="2">
        <v>44599.837741793002</v>
      </c>
    </row>
    <row r="149" spans="1:10" hidden="1" x14ac:dyDescent="0.3">
      <c r="A149" s="1" t="s">
        <v>80</v>
      </c>
      <c r="B149" s="1" t="s">
        <v>96</v>
      </c>
      <c r="C149" s="1" t="str">
        <f t="shared" si="6"/>
        <v>Out-of-State, Michigan</v>
      </c>
      <c r="D149" s="1" t="s">
        <v>7</v>
      </c>
      <c r="E149" s="1">
        <v>413</v>
      </c>
      <c r="F149" s="1">
        <v>3</v>
      </c>
      <c r="G149" s="1" t="str">
        <f>_xlfn.IFNA(VLOOKUP(A149 &amp; "*", PopulationTable[#All],2,FALSE), " ")</f>
        <v xml:space="preserve"> </v>
      </c>
      <c r="H149" s="1" t="str">
        <f t="shared" si="7"/>
        <v xml:space="preserve"> </v>
      </c>
      <c r="I149" s="1">
        <f t="shared" si="8"/>
        <v>7.2639225181598066E-3</v>
      </c>
      <c r="J149" s="2">
        <v>44599.837741793002</v>
      </c>
    </row>
    <row r="150" spans="1:10" x14ac:dyDescent="0.3">
      <c r="A150" s="1" t="s">
        <v>81</v>
      </c>
      <c r="B150" s="1" t="s">
        <v>96</v>
      </c>
      <c r="C150" s="1" t="str">
        <f t="shared" si="6"/>
        <v>Presque Isle, Michigan</v>
      </c>
      <c r="D150" s="1" t="s">
        <v>6</v>
      </c>
      <c r="E150" s="1">
        <v>1528</v>
      </c>
      <c r="F150" s="1">
        <v>50</v>
      </c>
      <c r="G150" s="1">
        <f>_xlfn.IFNA(VLOOKUP(A150 &amp; "*", PopulationTable[#All],2,FALSE), " ")</f>
        <v>12274</v>
      </c>
      <c r="H150" s="1">
        <f t="shared" si="7"/>
        <v>0.12449079354733583</v>
      </c>
      <c r="I150" s="1">
        <f t="shared" si="8"/>
        <v>3.2722513089005235E-2</v>
      </c>
      <c r="J150" s="2">
        <v>44599.8377418046</v>
      </c>
    </row>
    <row r="151" spans="1:10" hidden="1" x14ac:dyDescent="0.3">
      <c r="A151" s="1" t="s">
        <v>81</v>
      </c>
      <c r="B151" s="1" t="s">
        <v>96</v>
      </c>
      <c r="C151" s="1" t="str">
        <f t="shared" si="6"/>
        <v>Presque Isle, Michigan</v>
      </c>
      <c r="D151" s="1" t="s">
        <v>7</v>
      </c>
      <c r="E151" s="1">
        <v>505</v>
      </c>
      <c r="F151" s="1">
        <v>5</v>
      </c>
      <c r="G151" s="1">
        <f>_xlfn.IFNA(VLOOKUP(A151 &amp; "*", PopulationTable[#All],2,FALSE), " ")</f>
        <v>12274</v>
      </c>
      <c r="H151" s="1">
        <f t="shared" si="7"/>
        <v>4.1143881375264785E-2</v>
      </c>
      <c r="I151" s="1">
        <f t="shared" si="8"/>
        <v>9.9009900990099011E-3</v>
      </c>
      <c r="J151" s="2">
        <v>44599.8377418046</v>
      </c>
    </row>
    <row r="152" spans="1:10" x14ac:dyDescent="0.3">
      <c r="A152" s="1" t="s">
        <v>82</v>
      </c>
      <c r="B152" s="1" t="s">
        <v>96</v>
      </c>
      <c r="C152" s="1" t="str">
        <f t="shared" si="6"/>
        <v>Roscommon, Michigan</v>
      </c>
      <c r="D152" s="1" t="s">
        <v>6</v>
      </c>
      <c r="E152" s="1">
        <v>3382</v>
      </c>
      <c r="F152" s="1">
        <v>98</v>
      </c>
      <c r="G152" s="1">
        <f>_xlfn.IFNA(VLOOKUP(A152 &amp; "*", PopulationTable[#All],2,FALSE), " ")</f>
        <v>24640</v>
      </c>
      <c r="H152" s="1">
        <f t="shared" si="7"/>
        <v>0.13725649350649349</v>
      </c>
      <c r="I152" s="1">
        <f t="shared" si="8"/>
        <v>2.8976936723832052E-2</v>
      </c>
      <c r="J152" s="2">
        <v>44599.8377418046</v>
      </c>
    </row>
    <row r="153" spans="1:10" hidden="1" x14ac:dyDescent="0.3">
      <c r="A153" s="1" t="s">
        <v>82</v>
      </c>
      <c r="B153" s="1" t="s">
        <v>96</v>
      </c>
      <c r="C153" s="1" t="str">
        <f t="shared" si="6"/>
        <v>Roscommon, Michigan</v>
      </c>
      <c r="D153" s="1" t="s">
        <v>7</v>
      </c>
      <c r="E153" s="1">
        <v>1061</v>
      </c>
      <c r="F153" s="1">
        <v>11</v>
      </c>
      <c r="G153" s="1">
        <f>_xlfn.IFNA(VLOOKUP(A153 &amp; "*", PopulationTable[#All],2,FALSE), " ")</f>
        <v>24640</v>
      </c>
      <c r="H153" s="1">
        <f t="shared" si="7"/>
        <v>4.3060064935064937E-2</v>
      </c>
      <c r="I153" s="1">
        <f t="shared" si="8"/>
        <v>1.0367577756833177E-2</v>
      </c>
      <c r="J153" s="2">
        <v>44599.8377418046</v>
      </c>
    </row>
    <row r="154" spans="1:10" x14ac:dyDescent="0.3">
      <c r="A154" s="1" t="s">
        <v>83</v>
      </c>
      <c r="B154" s="1" t="s">
        <v>96</v>
      </c>
      <c r="C154" s="1" t="str">
        <f t="shared" si="6"/>
        <v>Saginaw, Michigan</v>
      </c>
      <c r="D154" s="1" t="s">
        <v>6</v>
      </c>
      <c r="E154" s="1">
        <v>43887</v>
      </c>
      <c r="F154" s="1">
        <v>827</v>
      </c>
      <c r="G154" s="1">
        <f>_xlfn.IFNA(VLOOKUP(A154 &amp; "*", PopulationTable[#All],2,FALSE), " ")</f>
        <v>189783</v>
      </c>
      <c r="H154" s="1">
        <f t="shared" si="7"/>
        <v>0.23124832045019839</v>
      </c>
      <c r="I154" s="1">
        <f t="shared" si="8"/>
        <v>1.8843848975778704E-2</v>
      </c>
      <c r="J154" s="2">
        <v>44599.837741816198</v>
      </c>
    </row>
    <row r="155" spans="1:10" hidden="1" x14ac:dyDescent="0.3">
      <c r="A155" s="1" t="s">
        <v>83</v>
      </c>
      <c r="B155" s="1" t="s">
        <v>96</v>
      </c>
      <c r="C155" s="1" t="str">
        <f t="shared" si="6"/>
        <v>Saginaw, Michigan</v>
      </c>
      <c r="D155" s="1" t="s">
        <v>7</v>
      </c>
      <c r="E155" s="1">
        <v>3660</v>
      </c>
      <c r="F155" s="1">
        <v>40</v>
      </c>
      <c r="G155" s="1">
        <f>_xlfn.IFNA(VLOOKUP(A155 &amp; "*", PopulationTable[#All],2,FALSE), " ")</f>
        <v>189783</v>
      </c>
      <c r="H155" s="1">
        <f t="shared" si="7"/>
        <v>1.9285183604432432E-2</v>
      </c>
      <c r="I155" s="1">
        <f t="shared" si="8"/>
        <v>1.092896174863388E-2</v>
      </c>
      <c r="J155" s="2">
        <v>44599.837741816198</v>
      </c>
    </row>
    <row r="156" spans="1:10" x14ac:dyDescent="0.3">
      <c r="A156" s="1" t="s">
        <v>84</v>
      </c>
      <c r="B156" s="1" t="s">
        <v>96</v>
      </c>
      <c r="C156" s="1" t="str">
        <f t="shared" si="6"/>
        <v>Sanilac, Michigan</v>
      </c>
      <c r="D156" s="1" t="s">
        <v>6</v>
      </c>
      <c r="E156" s="1">
        <v>7139</v>
      </c>
      <c r="F156" s="1">
        <v>163</v>
      </c>
      <c r="G156" s="1">
        <f>_xlfn.IFNA(VLOOKUP(A156 &amp; "*", PopulationTable[#All],2,FALSE), " ")</f>
        <v>41104</v>
      </c>
      <c r="H156" s="1">
        <f t="shared" si="7"/>
        <v>0.17368139353834178</v>
      </c>
      <c r="I156" s="1">
        <f t="shared" si="8"/>
        <v>2.283232945790727E-2</v>
      </c>
      <c r="J156" s="2">
        <v>44599.837741816198</v>
      </c>
    </row>
    <row r="157" spans="1:10" hidden="1" x14ac:dyDescent="0.3">
      <c r="A157" s="1" t="s">
        <v>84</v>
      </c>
      <c r="B157" s="1" t="s">
        <v>96</v>
      </c>
      <c r="C157" s="1" t="str">
        <f t="shared" si="6"/>
        <v>Sanilac, Michigan</v>
      </c>
      <c r="D157" s="1" t="s">
        <v>7</v>
      </c>
      <c r="E157" s="1">
        <v>1251</v>
      </c>
      <c r="F157" s="1">
        <v>12</v>
      </c>
      <c r="G157" s="1">
        <f>_xlfn.IFNA(VLOOKUP(A157 &amp; "*", PopulationTable[#All],2,FALSE), " ")</f>
        <v>41104</v>
      </c>
      <c r="H157" s="1">
        <f t="shared" si="7"/>
        <v>3.0434994161152199E-2</v>
      </c>
      <c r="I157" s="1">
        <f t="shared" si="8"/>
        <v>9.5923261390887284E-3</v>
      </c>
      <c r="J157" s="2">
        <v>44599.837741816198</v>
      </c>
    </row>
    <row r="158" spans="1:10" x14ac:dyDescent="0.3">
      <c r="A158" s="1" t="s">
        <v>85</v>
      </c>
      <c r="B158" s="1" t="s">
        <v>96</v>
      </c>
      <c r="C158" s="1" t="str">
        <f t="shared" si="6"/>
        <v>Schoolcraft, Michigan</v>
      </c>
      <c r="D158" s="1" t="s">
        <v>6</v>
      </c>
      <c r="E158" s="1">
        <v>1036</v>
      </c>
      <c r="F158" s="1">
        <v>11</v>
      </c>
      <c r="G158" s="1">
        <f>_xlfn.IFNA(VLOOKUP(A158 &amp; "*", PopulationTable[#All],2,FALSE), " ")</f>
        <v>8244</v>
      </c>
      <c r="H158" s="1">
        <f t="shared" si="7"/>
        <v>0.12566715186802524</v>
      </c>
      <c r="I158" s="1">
        <f t="shared" si="8"/>
        <v>1.0617760617760617E-2</v>
      </c>
      <c r="J158" s="2">
        <v>44599.837741816198</v>
      </c>
    </row>
    <row r="159" spans="1:10" hidden="1" x14ac:dyDescent="0.3">
      <c r="A159" s="1" t="s">
        <v>85</v>
      </c>
      <c r="B159" s="1" t="s">
        <v>96</v>
      </c>
      <c r="C159" s="1" t="str">
        <f t="shared" si="6"/>
        <v>Schoolcraft, Michigan</v>
      </c>
      <c r="D159" s="1" t="s">
        <v>7</v>
      </c>
      <c r="E159" s="1">
        <v>628</v>
      </c>
      <c r="F159" s="1">
        <v>2</v>
      </c>
      <c r="G159" s="1">
        <f>_xlfn.IFNA(VLOOKUP(A159 &amp; "*", PopulationTable[#All],2,FALSE), " ")</f>
        <v>8244</v>
      </c>
      <c r="H159" s="1">
        <f t="shared" si="7"/>
        <v>7.617661329451722E-2</v>
      </c>
      <c r="I159" s="1">
        <f t="shared" si="8"/>
        <v>3.1847133757961785E-3</v>
      </c>
      <c r="J159" s="2">
        <v>44599.837741816198</v>
      </c>
    </row>
    <row r="160" spans="1:10" x14ac:dyDescent="0.3">
      <c r="A160" s="1" t="s">
        <v>86</v>
      </c>
      <c r="B160" s="1" t="s">
        <v>96</v>
      </c>
      <c r="C160" s="1" t="str">
        <f t="shared" si="6"/>
        <v>Shiawassee, Michigan</v>
      </c>
      <c r="D160" s="1" t="s">
        <v>6</v>
      </c>
      <c r="E160" s="1">
        <v>13826</v>
      </c>
      <c r="F160" s="1">
        <v>194</v>
      </c>
      <c r="G160" s="1">
        <f>_xlfn.IFNA(VLOOKUP(A160 &amp; "*", PopulationTable[#All],2,FALSE), " ")</f>
        <v>68089</v>
      </c>
      <c r="H160" s="1">
        <f t="shared" si="7"/>
        <v>0.20305776263419936</v>
      </c>
      <c r="I160" s="1">
        <f t="shared" si="8"/>
        <v>1.4031534789526979E-2</v>
      </c>
      <c r="J160" s="2">
        <v>44599.837741816198</v>
      </c>
    </row>
    <row r="161" spans="1:10" hidden="1" x14ac:dyDescent="0.3">
      <c r="A161" s="1" t="s">
        <v>86</v>
      </c>
      <c r="B161" s="1" t="s">
        <v>96</v>
      </c>
      <c r="C161" s="1" t="str">
        <f t="shared" si="6"/>
        <v>Shiawassee, Michigan</v>
      </c>
      <c r="D161" s="1" t="s">
        <v>7</v>
      </c>
      <c r="E161" s="1">
        <v>3317</v>
      </c>
      <c r="F161" s="1">
        <v>18</v>
      </c>
      <c r="G161" s="1">
        <f>_xlfn.IFNA(VLOOKUP(A161 &amp; "*", PopulationTable[#All],2,FALSE), " ")</f>
        <v>68089</v>
      </c>
      <c r="H161" s="1">
        <f t="shared" si="7"/>
        <v>4.8715651573675633E-2</v>
      </c>
      <c r="I161" s="1">
        <f t="shared" si="8"/>
        <v>5.426590292432921E-3</v>
      </c>
      <c r="J161" s="2">
        <v>44599.837741827701</v>
      </c>
    </row>
    <row r="162" spans="1:10" x14ac:dyDescent="0.3">
      <c r="A162" s="1" t="s">
        <v>87</v>
      </c>
      <c r="B162" s="1" t="s">
        <v>96</v>
      </c>
      <c r="C162" s="1" t="str">
        <f t="shared" si="6"/>
        <v>St Clair, Michigan</v>
      </c>
      <c r="D162" s="1" t="s">
        <v>6</v>
      </c>
      <c r="E162" s="1">
        <v>33034</v>
      </c>
      <c r="F162" s="1">
        <v>709</v>
      </c>
      <c r="G162" s="1" t="str">
        <f>_xlfn.IFNA(VLOOKUP(A162 &amp; "*", PopulationTable[#All],2,FALSE), " ")</f>
        <v xml:space="preserve"> </v>
      </c>
      <c r="H162" s="1" t="str">
        <f t="shared" si="7"/>
        <v xml:space="preserve"> </v>
      </c>
      <c r="I162" s="1">
        <f t="shared" si="8"/>
        <v>2.146273536356481E-2</v>
      </c>
      <c r="J162" s="2">
        <v>44599.837741827701</v>
      </c>
    </row>
    <row r="163" spans="1:10" hidden="1" x14ac:dyDescent="0.3">
      <c r="A163" s="1" t="s">
        <v>87</v>
      </c>
      <c r="B163" s="1" t="s">
        <v>96</v>
      </c>
      <c r="C163" s="1" t="str">
        <f t="shared" si="6"/>
        <v>St Clair, Michigan</v>
      </c>
      <c r="D163" s="1" t="s">
        <v>7</v>
      </c>
      <c r="E163" s="1">
        <v>6178</v>
      </c>
      <c r="F163" s="1">
        <v>53</v>
      </c>
      <c r="G163" s="1" t="str">
        <f>_xlfn.IFNA(VLOOKUP(A163 &amp; "*", PopulationTable[#All],2,FALSE), " ")</f>
        <v xml:space="preserve"> </v>
      </c>
      <c r="H163" s="1" t="str">
        <f t="shared" si="7"/>
        <v xml:space="preserve"> </v>
      </c>
      <c r="I163" s="1">
        <f t="shared" si="8"/>
        <v>8.5788280997086443E-3</v>
      </c>
      <c r="J163" s="2">
        <v>44599.837741827701</v>
      </c>
    </row>
    <row r="164" spans="1:10" x14ac:dyDescent="0.3">
      <c r="A164" s="1" t="s">
        <v>88</v>
      </c>
      <c r="B164" s="1" t="s">
        <v>96</v>
      </c>
      <c r="C164" s="1" t="str">
        <f t="shared" si="6"/>
        <v>St Joseph, Michigan</v>
      </c>
      <c r="D164" s="1" t="s">
        <v>6</v>
      </c>
      <c r="E164" s="1">
        <v>11759</v>
      </c>
      <c r="F164" s="1">
        <v>158</v>
      </c>
      <c r="G164" s="1" t="str">
        <f>_xlfn.IFNA(VLOOKUP(A164 &amp; "*", PopulationTable[#All],2,FALSE), " ")</f>
        <v xml:space="preserve"> </v>
      </c>
      <c r="H164" s="1" t="str">
        <f t="shared" si="7"/>
        <v xml:space="preserve"> </v>
      </c>
      <c r="I164" s="1">
        <f t="shared" si="8"/>
        <v>1.3436516710604644E-2</v>
      </c>
      <c r="J164" s="2">
        <v>44599.837741839299</v>
      </c>
    </row>
    <row r="165" spans="1:10" hidden="1" x14ac:dyDescent="0.3">
      <c r="A165" s="1" t="s">
        <v>88</v>
      </c>
      <c r="B165" s="1" t="s">
        <v>96</v>
      </c>
      <c r="C165" s="1" t="str">
        <f t="shared" si="6"/>
        <v>St Joseph, Michigan</v>
      </c>
      <c r="D165" s="1" t="s">
        <v>7</v>
      </c>
      <c r="E165" s="1">
        <v>1611</v>
      </c>
      <c r="F165" s="1">
        <v>28</v>
      </c>
      <c r="G165" s="1" t="str">
        <f>_xlfn.IFNA(VLOOKUP(A165 &amp; "*", PopulationTable[#All],2,FALSE), " ")</f>
        <v xml:space="preserve"> </v>
      </c>
      <c r="H165" s="1" t="str">
        <f t="shared" si="7"/>
        <v xml:space="preserve"> </v>
      </c>
      <c r="I165" s="1">
        <f t="shared" si="8"/>
        <v>1.7380509000620731E-2</v>
      </c>
      <c r="J165" s="2">
        <v>44599.837741839299</v>
      </c>
    </row>
    <row r="166" spans="1:10" x14ac:dyDescent="0.3">
      <c r="A166" s="1" t="s">
        <v>89</v>
      </c>
      <c r="B166" s="1" t="s">
        <v>96</v>
      </c>
      <c r="C166" s="1" t="str">
        <f t="shared" si="6"/>
        <v>Tuscola, Michigan</v>
      </c>
      <c r="D166" s="1" t="s">
        <v>6</v>
      </c>
      <c r="E166" s="1">
        <v>10292</v>
      </c>
      <c r="F166" s="1">
        <v>239</v>
      </c>
      <c r="G166" s="1">
        <f>_xlfn.IFNA(VLOOKUP(A166 &amp; "*", PopulationTable[#All],2,FALSE), " ")</f>
        <v>51081</v>
      </c>
      <c r="H166" s="1">
        <f t="shared" si="7"/>
        <v>0.20148391769934026</v>
      </c>
      <c r="I166" s="1">
        <f t="shared" si="8"/>
        <v>2.322191993781578E-2</v>
      </c>
      <c r="J166" s="2">
        <v>44599.837741839299</v>
      </c>
    </row>
    <row r="167" spans="1:10" hidden="1" x14ac:dyDescent="0.3">
      <c r="A167" s="1" t="s">
        <v>89</v>
      </c>
      <c r="B167" s="1" t="s">
        <v>96</v>
      </c>
      <c r="C167" s="1" t="str">
        <f t="shared" si="6"/>
        <v>Tuscola, Michigan</v>
      </c>
      <c r="D167" s="1" t="s">
        <v>7</v>
      </c>
      <c r="E167" s="1">
        <v>2525</v>
      </c>
      <c r="F167" s="1">
        <v>22</v>
      </c>
      <c r="G167" s="1">
        <f>_xlfn.IFNA(VLOOKUP(A167 &amp; "*", PopulationTable[#All],2,FALSE), " ")</f>
        <v>51081</v>
      </c>
      <c r="H167" s="1">
        <f t="shared" si="7"/>
        <v>4.943129539359057E-2</v>
      </c>
      <c r="I167" s="1">
        <f t="shared" si="8"/>
        <v>8.7128712871287137E-3</v>
      </c>
      <c r="J167" s="2">
        <v>44599.837741839299</v>
      </c>
    </row>
    <row r="168" spans="1:10" x14ac:dyDescent="0.3">
      <c r="A168" s="1" t="s">
        <v>90</v>
      </c>
      <c r="B168" s="1" t="s">
        <v>96</v>
      </c>
      <c r="C168" s="1" t="str">
        <f t="shared" si="6"/>
        <v>Unknown, Michigan</v>
      </c>
      <c r="D168" s="1" t="s">
        <v>6</v>
      </c>
      <c r="E168" s="1">
        <v>6</v>
      </c>
      <c r="F168" s="1">
        <v>0</v>
      </c>
      <c r="G168" s="1" t="str">
        <f>_xlfn.IFNA(VLOOKUP(A168 &amp; "*", PopulationTable[#All],2,FALSE), " ")</f>
        <v xml:space="preserve"> </v>
      </c>
      <c r="H168" s="1" t="str">
        <f t="shared" si="7"/>
        <v xml:space="preserve"> </v>
      </c>
      <c r="I168" s="1">
        <f t="shared" si="8"/>
        <v>0</v>
      </c>
      <c r="J168" s="2">
        <v>44599.837741839299</v>
      </c>
    </row>
    <row r="169" spans="1:10" x14ac:dyDescent="0.3">
      <c r="A169" s="1" t="s">
        <v>91</v>
      </c>
      <c r="B169" s="1" t="s">
        <v>96</v>
      </c>
      <c r="C169" s="1" t="str">
        <f t="shared" si="6"/>
        <v>Van Buren, Michigan</v>
      </c>
      <c r="D169" s="1" t="s">
        <v>6</v>
      </c>
      <c r="E169" s="1">
        <v>15217</v>
      </c>
      <c r="F169" s="1">
        <v>221</v>
      </c>
      <c r="G169" s="1">
        <f>_xlfn.IFNA(VLOOKUP(A169 &amp; "*", PopulationTable[#All],2,FALSE), " ")</f>
        <v>76265</v>
      </c>
      <c r="H169" s="1">
        <f t="shared" si="7"/>
        <v>0.19952796171245002</v>
      </c>
      <c r="I169" s="1">
        <f t="shared" si="8"/>
        <v>1.4523230597358218E-2</v>
      </c>
      <c r="J169" s="2">
        <v>44599.837741850803</v>
      </c>
    </row>
    <row r="170" spans="1:10" hidden="1" x14ac:dyDescent="0.3">
      <c r="A170" s="1" t="s">
        <v>91</v>
      </c>
      <c r="B170" s="1" t="s">
        <v>96</v>
      </c>
      <c r="C170" s="1" t="str">
        <f t="shared" si="6"/>
        <v>Van Buren, Michigan</v>
      </c>
      <c r="D170" s="1" t="s">
        <v>7</v>
      </c>
      <c r="E170" s="1">
        <v>1243</v>
      </c>
      <c r="F170" s="1">
        <v>21</v>
      </c>
      <c r="G170" s="1">
        <f>_xlfn.IFNA(VLOOKUP(A170 &amp; "*", PopulationTable[#All],2,FALSE), " ")</f>
        <v>76265</v>
      </c>
      <c r="H170" s="1">
        <f t="shared" si="7"/>
        <v>1.6298433095128826E-2</v>
      </c>
      <c r="I170" s="1">
        <f t="shared" si="8"/>
        <v>1.6894609814963796E-2</v>
      </c>
      <c r="J170" s="2">
        <v>44599.837741850803</v>
      </c>
    </row>
    <row r="171" spans="1:10" x14ac:dyDescent="0.3">
      <c r="A171" s="1" t="s">
        <v>92</v>
      </c>
      <c r="B171" s="1" t="s">
        <v>96</v>
      </c>
      <c r="C171" s="1" t="str">
        <f t="shared" si="6"/>
        <v>Washtenaw, Michigan</v>
      </c>
      <c r="D171" s="1" t="s">
        <v>6</v>
      </c>
      <c r="E171" s="1">
        <v>61965</v>
      </c>
      <c r="F171" s="1">
        <v>461</v>
      </c>
      <c r="G171" s="1">
        <f>_xlfn.IFNA(VLOOKUP(A171 &amp; "*", PopulationTable[#All],2,FALSE), " ")</f>
        <v>361955</v>
      </c>
      <c r="H171" s="1">
        <f t="shared" si="7"/>
        <v>0.17119531433465485</v>
      </c>
      <c r="I171" s="1">
        <f t="shared" si="8"/>
        <v>7.439683692407004E-3</v>
      </c>
      <c r="J171" s="2">
        <v>44599.837741862299</v>
      </c>
    </row>
    <row r="172" spans="1:10" hidden="1" x14ac:dyDescent="0.3">
      <c r="A172" s="1" t="s">
        <v>92</v>
      </c>
      <c r="B172" s="1" t="s">
        <v>96</v>
      </c>
      <c r="C172" s="1" t="str">
        <f t="shared" si="6"/>
        <v>Washtenaw, Michigan</v>
      </c>
      <c r="D172" s="1" t="s">
        <v>7</v>
      </c>
      <c r="E172" s="1">
        <v>8219</v>
      </c>
      <c r="F172" s="1">
        <v>20</v>
      </c>
      <c r="G172" s="1">
        <f>_xlfn.IFNA(VLOOKUP(A172 &amp; "*", PopulationTable[#All],2,FALSE), " ")</f>
        <v>361955</v>
      </c>
      <c r="H172" s="1">
        <f t="shared" si="7"/>
        <v>2.2707242613032006E-2</v>
      </c>
      <c r="I172" s="1">
        <f t="shared" si="8"/>
        <v>2.4333860566978951E-3</v>
      </c>
      <c r="J172" s="2">
        <v>44599.837741862299</v>
      </c>
    </row>
    <row r="173" spans="1:10" x14ac:dyDescent="0.3">
      <c r="A173" s="1" t="s">
        <v>93</v>
      </c>
      <c r="B173" s="1" t="s">
        <v>96</v>
      </c>
      <c r="C173" s="1" t="str">
        <f t="shared" si="6"/>
        <v>Wayne, Michigan</v>
      </c>
      <c r="D173" s="1" t="s">
        <v>6</v>
      </c>
      <c r="E173" s="1">
        <v>241670</v>
      </c>
      <c r="F173" s="1">
        <v>3718</v>
      </c>
      <c r="G173" s="1">
        <f>_xlfn.IFNA(VLOOKUP(A173 &amp; "*", PopulationTable[#All],2,FALSE), " ")</f>
        <v>1734013</v>
      </c>
      <c r="H173" s="1">
        <f t="shared" si="7"/>
        <v>0.1393703507413151</v>
      </c>
      <c r="I173" s="1">
        <f t="shared" si="8"/>
        <v>1.5384615384615385E-2</v>
      </c>
      <c r="J173" s="2">
        <v>44599.837741919997</v>
      </c>
    </row>
    <row r="174" spans="1:10" hidden="1" x14ac:dyDescent="0.3">
      <c r="A174" s="1" t="s">
        <v>93</v>
      </c>
      <c r="B174" s="1" t="s">
        <v>96</v>
      </c>
      <c r="C174" s="1" t="str">
        <f t="shared" si="6"/>
        <v>Wayne, Michigan</v>
      </c>
      <c r="D174" s="1" t="s">
        <v>7</v>
      </c>
      <c r="E174" s="1">
        <v>15713</v>
      </c>
      <c r="F174" s="1">
        <v>322</v>
      </c>
      <c r="G174" s="1">
        <f>_xlfn.IFNA(VLOOKUP(A174 &amp; "*", PopulationTable[#All],2,FALSE), " ")</f>
        <v>1734013</v>
      </c>
      <c r="H174" s="1">
        <f t="shared" si="7"/>
        <v>9.0616390995915258E-3</v>
      </c>
      <c r="I174" s="1">
        <f t="shared" si="8"/>
        <v>2.0492585757016485E-2</v>
      </c>
      <c r="J174" s="2">
        <v>44599.837741919997</v>
      </c>
    </row>
    <row r="175" spans="1:10" x14ac:dyDescent="0.3">
      <c r="A175" s="1" t="s">
        <v>94</v>
      </c>
      <c r="B175" s="1" t="s">
        <v>96</v>
      </c>
      <c r="C175" s="1" t="str">
        <f t="shared" si="6"/>
        <v>Wexford, Michigan</v>
      </c>
      <c r="D175" s="1" t="s">
        <v>6</v>
      </c>
      <c r="E175" s="1">
        <v>5096</v>
      </c>
      <c r="F175" s="1">
        <v>88</v>
      </c>
      <c r="G175" s="1">
        <f>_xlfn.IFNA(VLOOKUP(A175 &amp; "*", PopulationTable[#All],2,FALSE), " ")</f>
        <v>34186</v>
      </c>
      <c r="H175" s="1">
        <f t="shared" si="7"/>
        <v>0.14906686947873399</v>
      </c>
      <c r="I175" s="1">
        <f t="shared" si="8"/>
        <v>1.726844583987441E-2</v>
      </c>
      <c r="J175" s="2">
        <v>44599.837741919997</v>
      </c>
    </row>
    <row r="176" spans="1:10" hidden="1" x14ac:dyDescent="0.3">
      <c r="A176" s="1" t="s">
        <v>94</v>
      </c>
      <c r="B176" s="1" t="s">
        <v>96</v>
      </c>
      <c r="C176" s="1" t="str">
        <f t="shared" si="6"/>
        <v>Wexford, Michigan</v>
      </c>
      <c r="D176" s="1" t="s">
        <v>7</v>
      </c>
      <c r="E176" s="1">
        <v>1618</v>
      </c>
      <c r="F176" s="1">
        <v>10</v>
      </c>
      <c r="G176" s="1">
        <f>_xlfn.IFNA(VLOOKUP(A176 &amp; "*", PopulationTable[#All],2,FALSE), " ")</f>
        <v>34186</v>
      </c>
      <c r="H176" s="1">
        <f t="shared" si="7"/>
        <v>4.7329316094307614E-2</v>
      </c>
      <c r="I176" s="1">
        <f t="shared" si="8"/>
        <v>6.180469715698393E-3</v>
      </c>
      <c r="J176" s="2">
        <v>44599.837741919997</v>
      </c>
    </row>
  </sheetData>
  <autoFilter ref="A1:J176" xr:uid="{584F655D-03E2-4CED-BAD6-3E6488B9E396}">
    <filterColumn colId="3">
      <filters>
        <filter val="Confirmed"/>
      </filters>
    </filterColumn>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948352-CE72-4286-B817-E6D1F6AADEF4}">
  <sheetPr codeName="Sheet1"/>
  <dimension ref="A1:D84"/>
  <sheetViews>
    <sheetView topLeftCell="A58" workbookViewId="0"/>
  </sheetViews>
  <sheetFormatPr defaultRowHeight="14.4" x14ac:dyDescent="0.3"/>
  <cols>
    <col min="1" max="1" width="19.77734375" bestFit="1" customWidth="1"/>
    <col min="2" max="2" width="17" bestFit="1" customWidth="1"/>
    <col min="3" max="3" width="18.88671875" bestFit="1" customWidth="1"/>
    <col min="4" max="4" width="14" bestFit="1" customWidth="1"/>
  </cols>
  <sheetData>
    <row r="1" spans="1:4" x14ac:dyDescent="0.3">
      <c r="A1" t="s">
        <v>98</v>
      </c>
      <c r="B1" t="s">
        <v>99</v>
      </c>
      <c r="C1" t="s">
        <v>100</v>
      </c>
      <c r="D1" t="s">
        <v>101</v>
      </c>
    </row>
    <row r="2" spans="1:4" x14ac:dyDescent="0.3">
      <c r="A2" s="3" t="s">
        <v>102</v>
      </c>
      <c r="B2">
        <v>1734013</v>
      </c>
      <c r="C2">
        <v>-4.4699999999999997E-2</v>
      </c>
      <c r="D2">
        <v>2833.28</v>
      </c>
    </row>
    <row r="3" spans="1:4" x14ac:dyDescent="0.3">
      <c r="A3" s="3" t="s">
        <v>103</v>
      </c>
      <c r="B3">
        <v>1260254</v>
      </c>
      <c r="C3">
        <v>4.7500000000000001E-2</v>
      </c>
      <c r="D3">
        <v>1452.82</v>
      </c>
    </row>
    <row r="4" spans="1:4" x14ac:dyDescent="0.3">
      <c r="A4" s="3" t="s">
        <v>104</v>
      </c>
      <c r="B4">
        <v>877503</v>
      </c>
      <c r="C4">
        <v>4.2999999999999997E-2</v>
      </c>
      <c r="D4">
        <v>1831.51</v>
      </c>
    </row>
    <row r="5" spans="1:4" x14ac:dyDescent="0.3">
      <c r="A5" s="3" t="s">
        <v>105</v>
      </c>
      <c r="B5">
        <v>667770</v>
      </c>
      <c r="C5">
        <v>0.1075</v>
      </c>
      <c r="D5">
        <v>787.74</v>
      </c>
    </row>
    <row r="6" spans="1:4" x14ac:dyDescent="0.3">
      <c r="A6" s="3" t="s">
        <v>106</v>
      </c>
      <c r="B6">
        <v>403188</v>
      </c>
      <c r="C6">
        <v>-5.1200000000000002E-2</v>
      </c>
      <c r="D6">
        <v>632.98</v>
      </c>
    </row>
    <row r="7" spans="1:4" x14ac:dyDescent="0.3">
      <c r="A7" s="3" t="s">
        <v>107</v>
      </c>
      <c r="B7">
        <v>361955</v>
      </c>
      <c r="C7">
        <v>4.7E-2</v>
      </c>
      <c r="D7">
        <v>512.71</v>
      </c>
    </row>
    <row r="8" spans="1:4" x14ac:dyDescent="0.3">
      <c r="A8" s="3" t="s">
        <v>108</v>
      </c>
      <c r="B8">
        <v>297896</v>
      </c>
      <c r="C8">
        <v>0.1278</v>
      </c>
      <c r="D8">
        <v>528.59</v>
      </c>
    </row>
    <row r="9" spans="1:4" x14ac:dyDescent="0.3">
      <c r="A9" s="3" t="s">
        <v>109</v>
      </c>
      <c r="B9">
        <v>294788</v>
      </c>
      <c r="C9">
        <v>4.8599999999999997E-2</v>
      </c>
      <c r="D9">
        <v>530.08000000000004</v>
      </c>
    </row>
    <row r="10" spans="1:4" x14ac:dyDescent="0.3">
      <c r="A10" s="3" t="s">
        <v>110</v>
      </c>
      <c r="B10">
        <v>266224</v>
      </c>
      <c r="C10">
        <v>6.1699999999999998E-2</v>
      </c>
      <c r="D10">
        <v>473.54</v>
      </c>
    </row>
    <row r="11" spans="1:4" x14ac:dyDescent="0.3">
      <c r="A11" s="3" t="s">
        <v>111</v>
      </c>
      <c r="B11">
        <v>194410</v>
      </c>
      <c r="C11">
        <v>7.3700000000000002E-2</v>
      </c>
      <c r="D11">
        <v>343.96</v>
      </c>
    </row>
    <row r="12" spans="1:4" x14ac:dyDescent="0.3">
      <c r="A12" s="3" t="s">
        <v>112</v>
      </c>
      <c r="B12">
        <v>189783</v>
      </c>
      <c r="C12">
        <v>-5.04E-2</v>
      </c>
      <c r="D12">
        <v>237.09</v>
      </c>
    </row>
    <row r="13" spans="1:4" x14ac:dyDescent="0.3">
      <c r="A13" s="3" t="s">
        <v>113</v>
      </c>
      <c r="B13">
        <v>173467</v>
      </c>
      <c r="C13">
        <v>8.9999999999999993E-3</v>
      </c>
      <c r="D13">
        <v>346.92</v>
      </c>
    </row>
    <row r="14" spans="1:4" x14ac:dyDescent="0.3">
      <c r="A14" s="3" t="s">
        <v>114</v>
      </c>
      <c r="B14">
        <v>159419</v>
      </c>
      <c r="C14">
        <v>-2.01E-2</v>
      </c>
      <c r="D14">
        <v>221.05</v>
      </c>
    </row>
    <row r="15" spans="1:4" x14ac:dyDescent="0.3">
      <c r="A15" s="3" t="s">
        <v>115</v>
      </c>
      <c r="B15">
        <v>158342</v>
      </c>
      <c r="C15">
        <v>-1.0999999999999999E-2</v>
      </c>
      <c r="D15">
        <v>225.67</v>
      </c>
    </row>
    <row r="16" spans="1:4" x14ac:dyDescent="0.3">
      <c r="A16" s="3" t="s">
        <v>116</v>
      </c>
      <c r="B16">
        <v>152234</v>
      </c>
      <c r="C16">
        <v>-2.87E-2</v>
      </c>
      <c r="D16">
        <v>268.14</v>
      </c>
    </row>
    <row r="17" spans="1:4" x14ac:dyDescent="0.3">
      <c r="A17" s="3" t="s">
        <v>117</v>
      </c>
      <c r="B17">
        <v>151478</v>
      </c>
      <c r="C17">
        <v>-3.0000000000000001E-3</v>
      </c>
      <c r="D17">
        <v>275.7</v>
      </c>
    </row>
    <row r="18" spans="1:4" x14ac:dyDescent="0.3">
      <c r="A18" s="3" t="s">
        <v>118</v>
      </c>
      <c r="B18">
        <v>134489</v>
      </c>
      <c r="C18">
        <v>-1.0800000000000001E-2</v>
      </c>
      <c r="D18">
        <v>190.42</v>
      </c>
    </row>
    <row r="19" spans="1:4" x14ac:dyDescent="0.3">
      <c r="A19" s="3" t="s">
        <v>119</v>
      </c>
      <c r="B19">
        <v>120805</v>
      </c>
      <c r="C19">
        <v>8.3199999999999996E-2</v>
      </c>
      <c r="D19">
        <v>146.38999999999999</v>
      </c>
    </row>
    <row r="20" spans="1:4" x14ac:dyDescent="0.3">
      <c r="A20" s="3" t="s">
        <v>120</v>
      </c>
      <c r="B20">
        <v>111942</v>
      </c>
      <c r="C20">
        <v>3.8899999999999997E-2</v>
      </c>
      <c r="D20">
        <v>194.62</v>
      </c>
    </row>
    <row r="21" spans="1:4" x14ac:dyDescent="0.3">
      <c r="A21" s="3" t="s">
        <v>121</v>
      </c>
      <c r="B21">
        <v>101398</v>
      </c>
      <c r="C21">
        <v>-5.8299999999999998E-2</v>
      </c>
      <c r="D21">
        <v>229.25</v>
      </c>
    </row>
    <row r="22" spans="1:4" x14ac:dyDescent="0.3">
      <c r="A22" s="3" t="s">
        <v>122</v>
      </c>
      <c r="B22">
        <v>99381</v>
      </c>
      <c r="C22">
        <v>-2.5999999999999999E-3</v>
      </c>
      <c r="D22">
        <v>132.59</v>
      </c>
    </row>
    <row r="23" spans="1:4" x14ac:dyDescent="0.3">
      <c r="A23" s="3" t="s">
        <v>123</v>
      </c>
      <c r="B23">
        <v>94762</v>
      </c>
      <c r="C23">
        <v>8.9599999999999999E-2</v>
      </c>
      <c r="D23">
        <v>204.08</v>
      </c>
    </row>
    <row r="24" spans="1:4" x14ac:dyDescent="0.3">
      <c r="A24" s="3" t="s">
        <v>124</v>
      </c>
      <c r="B24">
        <v>86665</v>
      </c>
      <c r="C24">
        <v>-1.7500000000000002E-2</v>
      </c>
      <c r="D24">
        <v>134.53</v>
      </c>
    </row>
    <row r="25" spans="1:4" x14ac:dyDescent="0.3">
      <c r="A25" s="3" t="s">
        <v>125</v>
      </c>
      <c r="B25">
        <v>82955</v>
      </c>
      <c r="C25">
        <v>-8.3000000000000001E-3</v>
      </c>
      <c r="D25">
        <v>160.69</v>
      </c>
    </row>
    <row r="26" spans="1:4" x14ac:dyDescent="0.3">
      <c r="A26" s="3" t="s">
        <v>126</v>
      </c>
      <c r="B26">
        <v>80723</v>
      </c>
      <c r="C26">
        <v>7.0599999999999996E-2</v>
      </c>
      <c r="D26">
        <v>142.52000000000001</v>
      </c>
    </row>
    <row r="27" spans="1:4" x14ac:dyDescent="0.3">
      <c r="A27" s="3" t="s">
        <v>127</v>
      </c>
      <c r="B27">
        <v>76265</v>
      </c>
      <c r="C27">
        <v>1.5E-3</v>
      </c>
      <c r="D27">
        <v>125.48</v>
      </c>
    </row>
    <row r="28" spans="1:4" x14ac:dyDescent="0.3">
      <c r="A28" s="3" t="s">
        <v>128</v>
      </c>
      <c r="B28">
        <v>68099</v>
      </c>
      <c r="C28">
        <v>-3.1199999999999999E-2</v>
      </c>
      <c r="D28">
        <v>118.91</v>
      </c>
    </row>
    <row r="29" spans="1:4" x14ac:dyDescent="0.3">
      <c r="A29" s="3" t="s">
        <v>129</v>
      </c>
      <c r="B29">
        <v>68089</v>
      </c>
      <c r="C29">
        <v>-3.5999999999999997E-2</v>
      </c>
      <c r="D29">
        <v>128.28</v>
      </c>
    </row>
    <row r="30" spans="1:4" x14ac:dyDescent="0.3">
      <c r="A30" s="3" t="s">
        <v>130</v>
      </c>
      <c r="B30">
        <v>67653</v>
      </c>
      <c r="C30">
        <v>8.6E-3</v>
      </c>
      <c r="D30">
        <v>37.409999999999997</v>
      </c>
    </row>
    <row r="31" spans="1:4" x14ac:dyDescent="0.3">
      <c r="A31" s="3" t="s">
        <v>131</v>
      </c>
      <c r="B31">
        <v>65960</v>
      </c>
      <c r="C31">
        <v>3.32E-2</v>
      </c>
      <c r="D31">
        <v>115.46</v>
      </c>
    </row>
    <row r="32" spans="1:4" x14ac:dyDescent="0.3">
      <c r="A32" s="3" t="s">
        <v>132</v>
      </c>
      <c r="B32">
        <v>63744</v>
      </c>
      <c r="C32">
        <v>6.7999999999999996E-3</v>
      </c>
      <c r="D32">
        <v>90.37</v>
      </c>
    </row>
    <row r="33" spans="1:4" x14ac:dyDescent="0.3">
      <c r="A33" s="3" t="s">
        <v>133</v>
      </c>
      <c r="B33">
        <v>62507</v>
      </c>
      <c r="C33">
        <v>5.7700000000000001E-2</v>
      </c>
      <c r="D33">
        <v>113.01</v>
      </c>
    </row>
    <row r="34" spans="1:4" x14ac:dyDescent="0.3">
      <c r="A34" s="3" t="s">
        <v>134</v>
      </c>
      <c r="B34">
        <v>61120</v>
      </c>
      <c r="C34">
        <v>-2.7000000000000001E-3</v>
      </c>
      <c r="D34">
        <v>122.09</v>
      </c>
    </row>
    <row r="35" spans="1:4" x14ac:dyDescent="0.3">
      <c r="A35" s="3" t="s">
        <v>135</v>
      </c>
      <c r="B35">
        <v>51973</v>
      </c>
      <c r="C35">
        <v>-5.1999999999999998E-3</v>
      </c>
      <c r="D35">
        <v>106.05</v>
      </c>
    </row>
    <row r="36" spans="1:4" x14ac:dyDescent="0.3">
      <c r="A36" s="3" t="s">
        <v>136</v>
      </c>
      <c r="B36">
        <v>51081</v>
      </c>
      <c r="C36">
        <v>-8.2900000000000001E-2</v>
      </c>
      <c r="D36">
        <v>63.58</v>
      </c>
    </row>
    <row r="37" spans="1:4" x14ac:dyDescent="0.3">
      <c r="A37" s="3" t="s">
        <v>137</v>
      </c>
      <c r="B37">
        <v>49403</v>
      </c>
      <c r="C37">
        <v>2.1299999999999999E-2</v>
      </c>
      <c r="D37">
        <v>60.57</v>
      </c>
    </row>
    <row r="38" spans="1:4" x14ac:dyDescent="0.3">
      <c r="A38" s="3" t="s">
        <v>138</v>
      </c>
      <c r="B38">
        <v>45314</v>
      </c>
      <c r="C38">
        <v>-2.86E-2</v>
      </c>
      <c r="D38">
        <v>75.760000000000005</v>
      </c>
    </row>
    <row r="39" spans="1:4" x14ac:dyDescent="0.3">
      <c r="A39" s="3" t="s">
        <v>139</v>
      </c>
      <c r="B39">
        <v>43612</v>
      </c>
      <c r="C39">
        <v>1.77E-2</v>
      </c>
      <c r="D39">
        <v>78.569999999999993</v>
      </c>
    </row>
    <row r="40" spans="1:4" x14ac:dyDescent="0.3">
      <c r="A40" s="3" t="s">
        <v>140</v>
      </c>
      <c r="B40">
        <v>43370</v>
      </c>
      <c r="C40">
        <v>-3.9899999999999998E-2</v>
      </c>
      <c r="D40">
        <v>85.65</v>
      </c>
    </row>
    <row r="41" spans="1:4" x14ac:dyDescent="0.3">
      <c r="A41" s="3" t="s">
        <v>141</v>
      </c>
      <c r="B41">
        <v>41104</v>
      </c>
      <c r="C41">
        <v>-4.5999999999999999E-2</v>
      </c>
      <c r="D41">
        <v>42.7</v>
      </c>
    </row>
    <row r="42" spans="1:4" x14ac:dyDescent="0.3">
      <c r="A42" s="3" t="s">
        <v>142</v>
      </c>
      <c r="B42">
        <v>41038</v>
      </c>
      <c r="C42">
        <v>-3.2899999999999999E-2</v>
      </c>
      <c r="D42">
        <v>72.19</v>
      </c>
    </row>
    <row r="43" spans="1:4" x14ac:dyDescent="0.3">
      <c r="A43" s="3" t="s">
        <v>143</v>
      </c>
      <c r="B43">
        <v>37013</v>
      </c>
      <c r="C43">
        <v>-4.1500000000000002E-2</v>
      </c>
      <c r="D43">
        <v>23.75</v>
      </c>
    </row>
    <row r="44" spans="1:4" x14ac:dyDescent="0.3">
      <c r="A44" s="3" t="s">
        <v>144</v>
      </c>
      <c r="B44">
        <v>35607</v>
      </c>
      <c r="C44">
        <v>-3.8899999999999997E-2</v>
      </c>
      <c r="D44">
        <v>30.4</v>
      </c>
    </row>
    <row r="45" spans="1:4" x14ac:dyDescent="0.3">
      <c r="A45" s="3" t="s">
        <v>145</v>
      </c>
      <c r="B45">
        <v>34907</v>
      </c>
      <c r="C45">
        <v>-4.9599999999999998E-2</v>
      </c>
      <c r="D45">
        <v>34.590000000000003</v>
      </c>
    </row>
    <row r="46" spans="1:4" x14ac:dyDescent="0.3">
      <c r="A46" s="3" t="s">
        <v>146</v>
      </c>
      <c r="B46">
        <v>34186</v>
      </c>
      <c r="C46">
        <v>4.4200000000000003E-2</v>
      </c>
      <c r="D46">
        <v>60.51</v>
      </c>
    </row>
    <row r="47" spans="1:4" x14ac:dyDescent="0.3">
      <c r="A47" s="3" t="s">
        <v>147</v>
      </c>
      <c r="B47">
        <v>33985</v>
      </c>
      <c r="C47">
        <v>4.0899999999999999E-2</v>
      </c>
      <c r="D47">
        <v>72.69</v>
      </c>
    </row>
    <row r="48" spans="1:4" x14ac:dyDescent="0.3">
      <c r="A48" s="3" t="s">
        <v>148</v>
      </c>
      <c r="B48">
        <v>31595</v>
      </c>
      <c r="C48">
        <v>1.9E-2</v>
      </c>
      <c r="D48">
        <v>55.99</v>
      </c>
    </row>
    <row r="49" spans="1:4" x14ac:dyDescent="0.3">
      <c r="A49" s="3" t="s">
        <v>149</v>
      </c>
      <c r="B49">
        <v>30291</v>
      </c>
      <c r="C49">
        <v>-8.4400000000000003E-2</v>
      </c>
      <c r="D49">
        <v>36.229999999999997</v>
      </c>
    </row>
    <row r="50" spans="1:4" x14ac:dyDescent="0.3">
      <c r="A50" s="3" t="s">
        <v>150</v>
      </c>
      <c r="B50">
        <v>29324</v>
      </c>
      <c r="C50">
        <v>2.1100000000000001E-2</v>
      </c>
      <c r="D50">
        <v>59.23</v>
      </c>
    </row>
    <row r="51" spans="1:4" x14ac:dyDescent="0.3">
      <c r="A51" s="3" t="s">
        <v>151</v>
      </c>
      <c r="B51">
        <v>28468</v>
      </c>
      <c r="C51">
        <v>-3.5299999999999998E-2</v>
      </c>
      <c r="D51">
        <v>49.78</v>
      </c>
    </row>
    <row r="52" spans="1:4" x14ac:dyDescent="0.3">
      <c r="A52" s="3" t="s">
        <v>152</v>
      </c>
      <c r="B52">
        <v>26203</v>
      </c>
      <c r="C52">
        <v>-1.1299999999999999E-2</v>
      </c>
      <c r="D52">
        <v>51.16</v>
      </c>
    </row>
    <row r="53" spans="1:4" x14ac:dyDescent="0.3">
      <c r="A53" s="3" t="s">
        <v>153</v>
      </c>
      <c r="B53">
        <v>26011</v>
      </c>
      <c r="C53">
        <v>2.8999999999999998E-3</v>
      </c>
      <c r="D53">
        <v>62.47</v>
      </c>
    </row>
    <row r="54" spans="1:4" x14ac:dyDescent="0.3">
      <c r="A54" s="3" t="s">
        <v>154</v>
      </c>
      <c r="B54">
        <v>25818</v>
      </c>
      <c r="C54">
        <v>3.2000000000000002E-3</v>
      </c>
      <c r="D54">
        <v>51.45</v>
      </c>
    </row>
    <row r="55" spans="1:4" x14ac:dyDescent="0.3">
      <c r="A55" s="3" t="s">
        <v>155</v>
      </c>
      <c r="B55">
        <v>25199</v>
      </c>
      <c r="C55">
        <v>-2.4799999999999999E-2</v>
      </c>
      <c r="D55">
        <v>45.89</v>
      </c>
    </row>
    <row r="56" spans="1:4" x14ac:dyDescent="0.3">
      <c r="A56" s="3" t="s">
        <v>156</v>
      </c>
      <c r="B56">
        <v>24867</v>
      </c>
      <c r="C56">
        <v>1.1299999999999999E-2</v>
      </c>
      <c r="D56">
        <v>45.87</v>
      </c>
    </row>
    <row r="57" spans="1:4" x14ac:dyDescent="0.3">
      <c r="A57" s="3" t="s">
        <v>157</v>
      </c>
      <c r="B57">
        <v>24843</v>
      </c>
      <c r="C57">
        <v>-5.0299999999999997E-2</v>
      </c>
      <c r="D57">
        <v>32.630000000000003</v>
      </c>
    </row>
    <row r="58" spans="1:4" x14ac:dyDescent="0.3">
      <c r="A58" s="3" t="s">
        <v>158</v>
      </c>
      <c r="B58">
        <v>24749</v>
      </c>
      <c r="C58">
        <v>2.4799999999999999E-2</v>
      </c>
      <c r="D58">
        <v>48.06</v>
      </c>
    </row>
    <row r="59" spans="1:4" x14ac:dyDescent="0.3">
      <c r="A59" s="3" t="s">
        <v>159</v>
      </c>
      <c r="B59">
        <v>24640</v>
      </c>
      <c r="C59">
        <v>8.0999999999999996E-3</v>
      </c>
      <c r="D59">
        <v>47.42</v>
      </c>
    </row>
    <row r="60" spans="1:4" x14ac:dyDescent="0.3">
      <c r="A60" s="3" t="s">
        <v>160</v>
      </c>
      <c r="B60">
        <v>24592</v>
      </c>
      <c r="C60">
        <v>-5.6399999999999999E-2</v>
      </c>
      <c r="D60">
        <v>34.380000000000003</v>
      </c>
    </row>
    <row r="61" spans="1:4" x14ac:dyDescent="0.3">
      <c r="A61" s="3" t="s">
        <v>161</v>
      </c>
      <c r="B61">
        <v>23709</v>
      </c>
      <c r="C61">
        <v>8.8000000000000005E-3</v>
      </c>
      <c r="D61">
        <v>41.86</v>
      </c>
    </row>
    <row r="62" spans="1:4" x14ac:dyDescent="0.3">
      <c r="A62" s="3" t="s">
        <v>162</v>
      </c>
      <c r="B62">
        <v>23327</v>
      </c>
      <c r="C62">
        <v>-7.0000000000000001E-3</v>
      </c>
      <c r="D62">
        <v>49.04</v>
      </c>
    </row>
    <row r="63" spans="1:4" x14ac:dyDescent="0.3">
      <c r="A63" s="3" t="s">
        <v>163</v>
      </c>
      <c r="B63">
        <v>22339</v>
      </c>
      <c r="C63">
        <v>-6.8000000000000005E-2</v>
      </c>
      <c r="D63">
        <v>21.4</v>
      </c>
    </row>
    <row r="64" spans="1:4" x14ac:dyDescent="0.3">
      <c r="A64" s="3" t="s">
        <v>164</v>
      </c>
      <c r="B64">
        <v>21902</v>
      </c>
      <c r="C64">
        <v>8.3999999999999995E-3</v>
      </c>
      <c r="D64">
        <v>63.08</v>
      </c>
    </row>
    <row r="65" spans="1:4" x14ac:dyDescent="0.3">
      <c r="A65" s="3" t="s">
        <v>165</v>
      </c>
      <c r="B65">
        <v>21342</v>
      </c>
      <c r="C65">
        <v>-1.2200000000000001E-2</v>
      </c>
      <c r="D65">
        <v>37.869999999999997</v>
      </c>
    </row>
    <row r="66" spans="1:4" x14ac:dyDescent="0.3">
      <c r="A66" s="3" t="s">
        <v>166</v>
      </c>
      <c r="B66">
        <v>18734</v>
      </c>
      <c r="C66">
        <v>9.2600000000000002E-2</v>
      </c>
      <c r="D66">
        <v>33.46</v>
      </c>
    </row>
    <row r="67" spans="1:4" x14ac:dyDescent="0.3">
      <c r="A67" s="3" t="s">
        <v>167</v>
      </c>
      <c r="B67">
        <v>17781</v>
      </c>
      <c r="C67">
        <v>1.5800000000000002E-2</v>
      </c>
      <c r="D67">
        <v>55.62</v>
      </c>
    </row>
    <row r="68" spans="1:4" x14ac:dyDescent="0.3">
      <c r="A68" s="3" t="s">
        <v>168</v>
      </c>
      <c r="B68">
        <v>15169</v>
      </c>
      <c r="C68">
        <v>2.3800000000000002E-2</v>
      </c>
      <c r="D68">
        <v>26.86</v>
      </c>
    </row>
    <row r="69" spans="1:4" x14ac:dyDescent="0.3">
      <c r="A69" s="3" t="s">
        <v>169</v>
      </c>
      <c r="B69">
        <v>14508</v>
      </c>
      <c r="C69">
        <v>-8.48E-2</v>
      </c>
      <c r="D69">
        <v>39.950000000000003</v>
      </c>
    </row>
    <row r="70" spans="1:4" x14ac:dyDescent="0.3">
      <c r="A70" s="3" t="s">
        <v>170</v>
      </c>
      <c r="B70">
        <v>14401</v>
      </c>
      <c r="C70">
        <v>2.46E-2</v>
      </c>
      <c r="D70">
        <v>25.89</v>
      </c>
    </row>
    <row r="71" spans="1:4" x14ac:dyDescent="0.3">
      <c r="A71" s="3" t="s">
        <v>171</v>
      </c>
      <c r="B71">
        <v>12274</v>
      </c>
      <c r="C71">
        <v>-7.8299999999999995E-2</v>
      </c>
      <c r="D71">
        <v>18.63</v>
      </c>
    </row>
    <row r="72" spans="1:4" x14ac:dyDescent="0.3">
      <c r="A72" s="3" t="s">
        <v>172</v>
      </c>
      <c r="B72">
        <v>11784</v>
      </c>
      <c r="C72">
        <v>2.3400000000000001E-2</v>
      </c>
      <c r="D72">
        <v>20.76</v>
      </c>
    </row>
    <row r="73" spans="1:4" x14ac:dyDescent="0.3">
      <c r="A73" s="3" t="s">
        <v>173</v>
      </c>
      <c r="B73">
        <v>10952</v>
      </c>
      <c r="C73">
        <v>-7.2700000000000001E-2</v>
      </c>
      <c r="D73">
        <v>9.39</v>
      </c>
    </row>
    <row r="74" spans="1:4" x14ac:dyDescent="0.3">
      <c r="A74" s="3" t="s">
        <v>174</v>
      </c>
      <c r="B74">
        <v>10853</v>
      </c>
      <c r="C74">
        <v>-2.3E-2</v>
      </c>
      <c r="D74">
        <v>10.62</v>
      </c>
    </row>
    <row r="75" spans="1:4" x14ac:dyDescent="0.3">
      <c r="A75" s="3" t="s">
        <v>175</v>
      </c>
      <c r="B75">
        <v>10552</v>
      </c>
      <c r="C75">
        <v>-0.35639999999999999</v>
      </c>
      <c r="D75">
        <v>9.58</v>
      </c>
    </row>
    <row r="76" spans="1:4" x14ac:dyDescent="0.3">
      <c r="A76" s="3" t="s">
        <v>176</v>
      </c>
      <c r="B76">
        <v>10540</v>
      </c>
      <c r="C76">
        <v>-3.1199999999999999E-2</v>
      </c>
      <c r="D76">
        <v>15.62</v>
      </c>
    </row>
    <row r="77" spans="1:4" x14ac:dyDescent="0.3">
      <c r="A77" s="3" t="s">
        <v>177</v>
      </c>
      <c r="B77">
        <v>9487</v>
      </c>
      <c r="C77">
        <v>-2.9700000000000001E-2</v>
      </c>
      <c r="D77">
        <v>17.350000000000001</v>
      </c>
    </row>
    <row r="78" spans="1:4" x14ac:dyDescent="0.3">
      <c r="A78" s="3" t="s">
        <v>178</v>
      </c>
      <c r="B78">
        <v>9078</v>
      </c>
      <c r="C78">
        <v>-5.2400000000000002E-2</v>
      </c>
      <c r="D78">
        <v>9.92</v>
      </c>
    </row>
    <row r="79" spans="1:4" x14ac:dyDescent="0.3">
      <c r="A79" s="3" t="s">
        <v>179</v>
      </c>
      <c r="B79">
        <v>8292</v>
      </c>
      <c r="C79">
        <v>-3.5900000000000001E-2</v>
      </c>
      <c r="D79">
        <v>14.66</v>
      </c>
    </row>
    <row r="80" spans="1:4" x14ac:dyDescent="0.3">
      <c r="A80" s="3" t="s">
        <v>180</v>
      </c>
      <c r="B80">
        <v>8244</v>
      </c>
      <c r="C80">
        <v>-2.69E-2</v>
      </c>
      <c r="D80">
        <v>7.04</v>
      </c>
    </row>
    <row r="81" spans="1:4" x14ac:dyDescent="0.3">
      <c r="A81" s="3" t="s">
        <v>181</v>
      </c>
      <c r="B81">
        <v>7864</v>
      </c>
      <c r="C81">
        <v>-0.1125</v>
      </c>
      <c r="D81">
        <v>8.75</v>
      </c>
    </row>
    <row r="82" spans="1:4" x14ac:dyDescent="0.3">
      <c r="A82" s="3" t="s">
        <v>182</v>
      </c>
      <c r="B82">
        <v>5935</v>
      </c>
      <c r="C82">
        <v>-0.1009</v>
      </c>
      <c r="D82">
        <v>6.6</v>
      </c>
    </row>
    <row r="83" spans="1:4" x14ac:dyDescent="0.3">
      <c r="A83" s="3" t="s">
        <v>183</v>
      </c>
      <c r="B83">
        <v>5477</v>
      </c>
      <c r="C83">
        <v>-0.19170000000000001</v>
      </c>
      <c r="D83">
        <v>4.18</v>
      </c>
    </row>
    <row r="84" spans="1:4" x14ac:dyDescent="0.3">
      <c r="A84" s="3" t="s">
        <v>184</v>
      </c>
      <c r="B84">
        <v>2194</v>
      </c>
      <c r="C84">
        <v>1.15E-2</v>
      </c>
      <c r="D84">
        <v>4.0599999999999996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3A41E-19FA-441D-9C68-8E19766F74B0}">
  <sheetPr codeName="Sheet3"/>
  <dimension ref="A1:J89"/>
  <sheetViews>
    <sheetView workbookViewId="0">
      <selection activeCell="H2" sqref="H2"/>
    </sheetView>
  </sheetViews>
  <sheetFormatPr defaultRowHeight="14.4" x14ac:dyDescent="0.3"/>
  <cols>
    <col min="7" max="7" width="18.88671875" customWidth="1"/>
    <col min="8" max="8" width="15" customWidth="1"/>
    <col min="9" max="9" width="19.21875" customWidth="1"/>
    <col min="10" max="10" width="22.33203125" customWidth="1"/>
  </cols>
  <sheetData>
    <row r="1" spans="1:10" x14ac:dyDescent="0.3">
      <c r="A1" s="1" t="s">
        <v>0</v>
      </c>
      <c r="B1" s="1" t="s">
        <v>95</v>
      </c>
      <c r="C1" s="1" t="s">
        <v>97</v>
      </c>
      <c r="D1" s="1" t="s">
        <v>1</v>
      </c>
      <c r="E1" s="1" t="s">
        <v>2</v>
      </c>
      <c r="F1" s="1" t="s">
        <v>3</v>
      </c>
      <c r="G1" s="1" t="s">
        <v>187</v>
      </c>
      <c r="H1" s="1" t="s">
        <v>185</v>
      </c>
      <c r="I1" s="1" t="s">
        <v>186</v>
      </c>
      <c r="J1" s="1" t="s">
        <v>4</v>
      </c>
    </row>
    <row r="2" spans="1:10" x14ac:dyDescent="0.3">
      <c r="A2" s="1" t="s">
        <v>5</v>
      </c>
      <c r="B2" s="1" t="s">
        <v>96</v>
      </c>
      <c r="C2" s="1" t="s">
        <v>188</v>
      </c>
      <c r="D2" s="1" t="s">
        <v>6</v>
      </c>
      <c r="E2" s="1">
        <v>1275</v>
      </c>
      <c r="F2" s="1">
        <v>61</v>
      </c>
      <c r="G2" s="1">
        <v>10540</v>
      </c>
      <c r="H2" s="1">
        <v>0.12096774193548387</v>
      </c>
      <c r="I2" s="1">
        <v>4.7843137254901962E-2</v>
      </c>
      <c r="J2" s="2">
        <v>44599.837741331299</v>
      </c>
    </row>
    <row r="3" spans="1:10" x14ac:dyDescent="0.3">
      <c r="A3" s="1" t="s">
        <v>8</v>
      </c>
      <c r="B3" s="1" t="s">
        <v>96</v>
      </c>
      <c r="C3" s="1" t="s">
        <v>189</v>
      </c>
      <c r="D3" s="1" t="s">
        <v>6</v>
      </c>
      <c r="E3" s="1">
        <v>1000</v>
      </c>
      <c r="F3" s="1">
        <v>7</v>
      </c>
      <c r="G3" s="1">
        <v>9078</v>
      </c>
      <c r="H3" s="1">
        <v>0.11015642211940956</v>
      </c>
      <c r="I3" s="1">
        <v>7.0000000000000001E-3</v>
      </c>
      <c r="J3" s="2">
        <v>44599.837741331299</v>
      </c>
    </row>
    <row r="4" spans="1:10" x14ac:dyDescent="0.3">
      <c r="A4" s="1" t="s">
        <v>9</v>
      </c>
      <c r="B4" s="1" t="s">
        <v>96</v>
      </c>
      <c r="C4" s="1" t="s">
        <v>190</v>
      </c>
      <c r="D4" s="1" t="s">
        <v>6</v>
      </c>
      <c r="E4" s="1">
        <v>23392</v>
      </c>
      <c r="F4" s="1">
        <v>274</v>
      </c>
      <c r="G4" s="1">
        <v>120805</v>
      </c>
      <c r="H4" s="1">
        <v>0.19363436943835105</v>
      </c>
      <c r="I4" s="1">
        <v>1.1713406292749659E-2</v>
      </c>
      <c r="J4" s="2">
        <v>44599.837741343101</v>
      </c>
    </row>
    <row r="5" spans="1:10" x14ac:dyDescent="0.3">
      <c r="A5" s="1" t="s">
        <v>10</v>
      </c>
      <c r="B5" s="1" t="s">
        <v>96</v>
      </c>
      <c r="C5" s="1" t="s">
        <v>191</v>
      </c>
      <c r="D5" s="1" t="s">
        <v>6</v>
      </c>
      <c r="E5" s="1">
        <v>4094</v>
      </c>
      <c r="F5" s="1">
        <v>116</v>
      </c>
      <c r="G5" s="1">
        <v>28468</v>
      </c>
      <c r="H5" s="1">
        <v>0.14381059435155263</v>
      </c>
      <c r="I5" s="1">
        <v>2.8334147532975085E-2</v>
      </c>
      <c r="J5" s="2">
        <v>44599.837741343101</v>
      </c>
    </row>
    <row r="6" spans="1:10" x14ac:dyDescent="0.3">
      <c r="A6" s="1" t="s">
        <v>11</v>
      </c>
      <c r="B6" s="1" t="s">
        <v>96</v>
      </c>
      <c r="C6" s="1" t="s">
        <v>192</v>
      </c>
      <c r="D6" s="1" t="s">
        <v>6</v>
      </c>
      <c r="E6" s="1">
        <v>2904</v>
      </c>
      <c r="F6" s="1">
        <v>47</v>
      </c>
      <c r="G6" s="1">
        <v>23327</v>
      </c>
      <c r="H6" s="1">
        <v>0.12449093325331162</v>
      </c>
      <c r="I6" s="1">
        <v>1.6184573002754821E-2</v>
      </c>
      <c r="J6" s="2">
        <v>44599.837741343101</v>
      </c>
    </row>
    <row r="7" spans="1:10" x14ac:dyDescent="0.3">
      <c r="A7" s="1" t="s">
        <v>12</v>
      </c>
      <c r="B7" s="1" t="s">
        <v>96</v>
      </c>
      <c r="C7" s="1" t="s">
        <v>193</v>
      </c>
      <c r="D7" s="1" t="s">
        <v>6</v>
      </c>
      <c r="E7" s="1">
        <v>2742</v>
      </c>
      <c r="F7" s="1">
        <v>59</v>
      </c>
      <c r="G7" s="1">
        <v>14508</v>
      </c>
      <c r="H7" s="1">
        <v>0.18899917287014062</v>
      </c>
      <c r="I7" s="1">
        <v>2.1517140773158278E-2</v>
      </c>
      <c r="J7" s="2">
        <v>44599.837741343101</v>
      </c>
    </row>
    <row r="8" spans="1:10" x14ac:dyDescent="0.3">
      <c r="A8" s="1" t="s">
        <v>13</v>
      </c>
      <c r="B8" s="1" t="s">
        <v>96</v>
      </c>
      <c r="C8" s="1" t="s">
        <v>194</v>
      </c>
      <c r="D8" s="1" t="s">
        <v>6</v>
      </c>
      <c r="E8" s="1">
        <v>1656</v>
      </c>
      <c r="F8" s="1">
        <v>50</v>
      </c>
      <c r="G8" s="1">
        <v>7864</v>
      </c>
      <c r="H8" s="1">
        <v>0.21057985757884029</v>
      </c>
      <c r="I8" s="1">
        <v>3.0193236714975844E-2</v>
      </c>
      <c r="J8" s="2">
        <v>44599.837741343101</v>
      </c>
    </row>
    <row r="9" spans="1:10" x14ac:dyDescent="0.3">
      <c r="A9" s="1" t="s">
        <v>14</v>
      </c>
      <c r="B9" s="1" t="s">
        <v>96</v>
      </c>
      <c r="C9" s="1" t="s">
        <v>195</v>
      </c>
      <c r="D9" s="1" t="s">
        <v>6</v>
      </c>
      <c r="E9" s="1">
        <v>11628</v>
      </c>
      <c r="F9" s="1">
        <v>136</v>
      </c>
      <c r="G9" s="1">
        <v>62507</v>
      </c>
      <c r="H9" s="1">
        <v>0.18602716495752475</v>
      </c>
      <c r="I9" s="1">
        <v>1.1695906432748537E-2</v>
      </c>
      <c r="J9" s="2">
        <v>44599.837741343101</v>
      </c>
    </row>
    <row r="10" spans="1:10" x14ac:dyDescent="0.3">
      <c r="A10" s="1" t="s">
        <v>15</v>
      </c>
      <c r="B10" s="1" t="s">
        <v>96</v>
      </c>
      <c r="C10" s="1" t="s">
        <v>196</v>
      </c>
      <c r="D10" s="1" t="s">
        <v>6</v>
      </c>
      <c r="E10" s="1">
        <v>23575</v>
      </c>
      <c r="F10" s="1">
        <v>513</v>
      </c>
      <c r="G10" s="1">
        <v>101398</v>
      </c>
      <c r="H10" s="1">
        <v>0.23249965482553897</v>
      </c>
      <c r="I10" s="1">
        <v>2.176033934252386E-2</v>
      </c>
      <c r="J10" s="2">
        <v>44599.837741354502</v>
      </c>
    </row>
    <row r="11" spans="1:10" x14ac:dyDescent="0.3">
      <c r="A11" s="1" t="s">
        <v>16</v>
      </c>
      <c r="B11" s="1" t="s">
        <v>96</v>
      </c>
      <c r="C11" s="1" t="s">
        <v>197</v>
      </c>
      <c r="D11" s="1" t="s">
        <v>6</v>
      </c>
      <c r="E11" s="1">
        <v>2343</v>
      </c>
      <c r="F11" s="1">
        <v>53</v>
      </c>
      <c r="G11" s="1">
        <v>17781</v>
      </c>
      <c r="H11" s="1">
        <v>0.13176986671165852</v>
      </c>
      <c r="I11" s="1">
        <v>2.2620571916346564E-2</v>
      </c>
      <c r="J11" s="2">
        <v>44599.837741354502</v>
      </c>
    </row>
    <row r="12" spans="1:10" x14ac:dyDescent="0.3">
      <c r="A12" s="1" t="s">
        <v>17</v>
      </c>
      <c r="B12" s="1" t="s">
        <v>96</v>
      </c>
      <c r="C12" s="1" t="s">
        <v>198</v>
      </c>
      <c r="D12" s="1" t="s">
        <v>6</v>
      </c>
      <c r="E12" s="1">
        <v>29871</v>
      </c>
      <c r="F12" s="1">
        <v>448</v>
      </c>
      <c r="G12" s="1">
        <v>152234</v>
      </c>
      <c r="H12" s="1">
        <v>0.19621766491059817</v>
      </c>
      <c r="I12" s="1">
        <v>1.4997823976431991E-2</v>
      </c>
      <c r="J12" s="2">
        <v>44599.837741365998</v>
      </c>
    </row>
    <row r="13" spans="1:10" x14ac:dyDescent="0.3">
      <c r="A13" s="1" t="s">
        <v>18</v>
      </c>
      <c r="B13" s="1" t="s">
        <v>96</v>
      </c>
      <c r="C13" s="1" t="s">
        <v>199</v>
      </c>
      <c r="D13" s="1" t="s">
        <v>6</v>
      </c>
      <c r="E13" s="1">
        <v>9701</v>
      </c>
      <c r="F13" s="1">
        <v>152</v>
      </c>
      <c r="G13" s="1">
        <v>43370</v>
      </c>
      <c r="H13" s="1">
        <v>0.22367996310813926</v>
      </c>
      <c r="I13" s="1">
        <v>1.5668487784764457E-2</v>
      </c>
      <c r="J13" s="2">
        <v>44599.837741365998</v>
      </c>
    </row>
    <row r="14" spans="1:10" x14ac:dyDescent="0.3">
      <c r="A14" s="1" t="s">
        <v>19</v>
      </c>
      <c r="B14" s="1" t="s">
        <v>96</v>
      </c>
      <c r="C14" s="1" t="s">
        <v>200</v>
      </c>
      <c r="D14" s="1" t="s">
        <v>6</v>
      </c>
      <c r="E14" s="1">
        <v>27622</v>
      </c>
      <c r="F14" s="1">
        <v>501</v>
      </c>
      <c r="G14" s="1">
        <v>134489</v>
      </c>
      <c r="H14" s="1">
        <v>0.20538482701187458</v>
      </c>
      <c r="I14" s="1">
        <v>1.8137716313083772E-2</v>
      </c>
      <c r="J14" s="2">
        <v>44599.837741377502</v>
      </c>
    </row>
    <row r="15" spans="1:10" x14ac:dyDescent="0.3">
      <c r="A15" s="1" t="s">
        <v>20</v>
      </c>
      <c r="B15" s="1" t="s">
        <v>96</v>
      </c>
      <c r="C15" s="1" t="s">
        <v>201</v>
      </c>
      <c r="D15" s="1" t="s">
        <v>6</v>
      </c>
      <c r="E15" s="1">
        <v>9057</v>
      </c>
      <c r="F15" s="1">
        <v>115</v>
      </c>
      <c r="G15" s="1">
        <v>51973</v>
      </c>
      <c r="H15" s="1">
        <v>0.17426355992534584</v>
      </c>
      <c r="I15" s="1">
        <v>1.2697361157116043E-2</v>
      </c>
      <c r="J15" s="2">
        <v>44599.837741377502</v>
      </c>
    </row>
    <row r="16" spans="1:10" x14ac:dyDescent="0.3">
      <c r="A16" s="1" t="s">
        <v>21</v>
      </c>
      <c r="B16" s="1" t="s">
        <v>96</v>
      </c>
      <c r="C16" s="1" t="s">
        <v>202</v>
      </c>
      <c r="D16" s="1" t="s">
        <v>6</v>
      </c>
      <c r="E16" s="1">
        <v>2906</v>
      </c>
      <c r="F16" s="1">
        <v>45</v>
      </c>
      <c r="G16" s="1">
        <v>26011</v>
      </c>
      <c r="H16" s="1">
        <v>0.11172196378455269</v>
      </c>
      <c r="I16" s="1">
        <v>1.5485203028217482E-2</v>
      </c>
      <c r="J16" s="2">
        <v>44599.837741377502</v>
      </c>
    </row>
    <row r="17" spans="1:10" x14ac:dyDescent="0.3">
      <c r="A17" s="1" t="s">
        <v>22</v>
      </c>
      <c r="B17" s="1" t="s">
        <v>96</v>
      </c>
      <c r="C17" s="1" t="s">
        <v>203</v>
      </c>
      <c r="D17" s="1" t="s">
        <v>6</v>
      </c>
      <c r="E17" s="1">
        <v>3158</v>
      </c>
      <c r="F17" s="1">
        <v>86</v>
      </c>
      <c r="G17" s="1">
        <v>24592</v>
      </c>
      <c r="H17" s="1">
        <v>0.12841574495770983</v>
      </c>
      <c r="I17" s="1">
        <v>2.7232425585813805E-2</v>
      </c>
      <c r="J17" s="2">
        <v>44599.837741389099</v>
      </c>
    </row>
    <row r="18" spans="1:10" x14ac:dyDescent="0.3">
      <c r="A18" s="1" t="s">
        <v>23</v>
      </c>
      <c r="B18" s="1" t="s">
        <v>96</v>
      </c>
      <c r="C18" s="1" t="s">
        <v>204</v>
      </c>
      <c r="D18" s="1" t="s">
        <v>6</v>
      </c>
      <c r="E18" s="1">
        <v>3187</v>
      </c>
      <c r="F18" s="1">
        <v>72</v>
      </c>
      <c r="G18" s="1">
        <v>37013</v>
      </c>
      <c r="H18" s="1">
        <v>8.6104882068462438E-2</v>
      </c>
      <c r="I18" s="1">
        <v>2.2591779102604331E-2</v>
      </c>
      <c r="J18" s="2">
        <v>44599.837741389099</v>
      </c>
    </row>
    <row r="19" spans="1:10" x14ac:dyDescent="0.3">
      <c r="A19" s="1" t="s">
        <v>24</v>
      </c>
      <c r="B19" s="1" t="s">
        <v>96</v>
      </c>
      <c r="C19" s="1" t="s">
        <v>205</v>
      </c>
      <c r="D19" s="1" t="s">
        <v>6</v>
      </c>
      <c r="E19" s="1">
        <v>5584</v>
      </c>
      <c r="F19" s="1">
        <v>145</v>
      </c>
      <c r="G19" s="1">
        <v>31595</v>
      </c>
      <c r="H19" s="1">
        <v>0.1767368254470644</v>
      </c>
      <c r="I19" s="1">
        <v>2.5967048710601719E-2</v>
      </c>
      <c r="J19" s="2">
        <v>44599.837741389099</v>
      </c>
    </row>
    <row r="20" spans="1:10" x14ac:dyDescent="0.3">
      <c r="A20" s="1" t="s">
        <v>25</v>
      </c>
      <c r="B20" s="1" t="s">
        <v>96</v>
      </c>
      <c r="C20" s="1" t="s">
        <v>206</v>
      </c>
      <c r="D20" s="1" t="s">
        <v>6</v>
      </c>
      <c r="E20" s="1">
        <v>13165</v>
      </c>
      <c r="F20" s="1">
        <v>176</v>
      </c>
      <c r="G20" s="1">
        <v>80723</v>
      </c>
      <c r="H20" s="1">
        <v>0.16308858689592806</v>
      </c>
      <c r="I20" s="1">
        <v>1.3368780858336498E-2</v>
      </c>
      <c r="J20" s="2">
        <v>44599.837741389099</v>
      </c>
    </row>
    <row r="21" spans="1:10" x14ac:dyDescent="0.3">
      <c r="A21" s="1" t="s">
        <v>26</v>
      </c>
      <c r="B21" s="1" t="s">
        <v>96</v>
      </c>
      <c r="C21" s="1" t="s">
        <v>207</v>
      </c>
      <c r="D21" s="1" t="s">
        <v>6</v>
      </c>
      <c r="E21" s="1">
        <v>2050</v>
      </c>
      <c r="F21" s="1">
        <v>24</v>
      </c>
      <c r="G21" s="1">
        <v>14401</v>
      </c>
      <c r="H21" s="1">
        <v>0.14235122560933269</v>
      </c>
      <c r="I21" s="1">
        <v>1.1707317073170732E-2</v>
      </c>
      <c r="J21" s="2">
        <v>44599.837741400603</v>
      </c>
    </row>
    <row r="22" spans="1:10" x14ac:dyDescent="0.3">
      <c r="A22" s="1" t="s">
        <v>27</v>
      </c>
      <c r="B22" s="1" t="s">
        <v>96</v>
      </c>
      <c r="C22" s="1" t="s">
        <v>208</v>
      </c>
      <c r="D22" s="1" t="s">
        <v>6</v>
      </c>
      <c r="E22" s="1">
        <v>7655</v>
      </c>
      <c r="F22" s="1">
        <v>123</v>
      </c>
      <c r="G22" s="1">
        <v>35607</v>
      </c>
      <c r="H22" s="1">
        <v>0.21498581739545594</v>
      </c>
      <c r="I22" s="1">
        <v>1.6067929457870674E-2</v>
      </c>
      <c r="J22" s="2">
        <v>44599.837741400603</v>
      </c>
    </row>
    <row r="23" spans="1:10" x14ac:dyDescent="0.3">
      <c r="A23" s="1" t="s">
        <v>28</v>
      </c>
      <c r="B23" s="1" t="s">
        <v>96</v>
      </c>
      <c r="C23" s="1" t="s">
        <v>209</v>
      </c>
      <c r="D23" s="1" t="s">
        <v>6</v>
      </c>
      <c r="E23" s="1">
        <v>120857</v>
      </c>
      <c r="F23" s="1">
        <v>3055</v>
      </c>
      <c r="G23" s="1" t="s">
        <v>210</v>
      </c>
      <c r="H23" s="1" t="s">
        <v>210</v>
      </c>
      <c r="I23" s="1">
        <v>2.5277807656983047E-2</v>
      </c>
      <c r="J23" s="2">
        <v>44599.837741423697</v>
      </c>
    </row>
    <row r="24" spans="1:10" x14ac:dyDescent="0.3">
      <c r="A24" s="1" t="s">
        <v>29</v>
      </c>
      <c r="B24" s="1" t="s">
        <v>96</v>
      </c>
      <c r="C24" s="1" t="s">
        <v>211</v>
      </c>
      <c r="D24" s="1" t="s">
        <v>6</v>
      </c>
      <c r="E24" s="1">
        <v>4862</v>
      </c>
      <c r="F24" s="1">
        <v>82</v>
      </c>
      <c r="G24" s="1">
        <v>24843</v>
      </c>
      <c r="H24" s="1">
        <v>0.19570905285190998</v>
      </c>
      <c r="I24" s="1">
        <v>1.6865487453722749E-2</v>
      </c>
      <c r="J24" s="2">
        <v>44599.8377414352</v>
      </c>
    </row>
    <row r="25" spans="1:10" x14ac:dyDescent="0.3">
      <c r="A25" s="1" t="s">
        <v>30</v>
      </c>
      <c r="B25" s="1" t="s">
        <v>96</v>
      </c>
      <c r="C25" s="1" t="s">
        <v>212</v>
      </c>
      <c r="D25" s="1" t="s">
        <v>6</v>
      </c>
      <c r="E25" s="1">
        <v>21413</v>
      </c>
      <c r="F25" s="1">
        <v>342</v>
      </c>
      <c r="G25" s="1">
        <v>111942</v>
      </c>
      <c r="H25" s="1">
        <v>0.19128655911096817</v>
      </c>
      <c r="I25" s="1">
        <v>1.5971606033717833E-2</v>
      </c>
      <c r="J25" s="2">
        <v>44599.8377414352</v>
      </c>
    </row>
    <row r="26" spans="1:10" x14ac:dyDescent="0.3">
      <c r="A26" s="1" t="s">
        <v>31</v>
      </c>
      <c r="B26" s="1" t="s">
        <v>96</v>
      </c>
      <c r="C26" s="1" t="s">
        <v>213</v>
      </c>
      <c r="D26" s="1" t="s">
        <v>6</v>
      </c>
      <c r="E26" s="1">
        <v>4050</v>
      </c>
      <c r="F26" s="1">
        <v>65</v>
      </c>
      <c r="G26" s="1">
        <v>33985</v>
      </c>
      <c r="H26" s="1">
        <v>0.1191702221568339</v>
      </c>
      <c r="I26" s="1">
        <v>1.6049382716049384E-2</v>
      </c>
      <c r="J26" s="2">
        <v>44599.837741446703</v>
      </c>
    </row>
    <row r="27" spans="1:10" x14ac:dyDescent="0.3">
      <c r="A27" s="1" t="s">
        <v>32</v>
      </c>
      <c r="B27" s="1" t="s">
        <v>96</v>
      </c>
      <c r="C27" s="1" t="s">
        <v>214</v>
      </c>
      <c r="D27" s="1" t="s">
        <v>6</v>
      </c>
      <c r="E27" s="1">
        <v>319</v>
      </c>
      <c r="F27" s="1">
        <v>5</v>
      </c>
      <c r="G27" s="1" t="s">
        <v>210</v>
      </c>
      <c r="H27" s="1" t="s">
        <v>210</v>
      </c>
      <c r="I27" s="1">
        <v>1.5673981191222569E-2</v>
      </c>
      <c r="J27" s="2">
        <v>44599.837741446703</v>
      </c>
    </row>
    <row r="28" spans="1:10" x14ac:dyDescent="0.3">
      <c r="A28" s="1" t="s">
        <v>33</v>
      </c>
      <c r="B28" s="1" t="s">
        <v>96</v>
      </c>
      <c r="C28" s="1" t="s">
        <v>215</v>
      </c>
      <c r="D28" s="1" t="s">
        <v>6</v>
      </c>
      <c r="E28" s="1">
        <v>74127</v>
      </c>
      <c r="F28" s="1">
        <v>1419</v>
      </c>
      <c r="G28" s="1">
        <v>403188</v>
      </c>
      <c r="H28" s="1">
        <v>0.1838521979820828</v>
      </c>
      <c r="I28" s="1">
        <v>1.9142822453357078E-2</v>
      </c>
      <c r="J28" s="2">
        <v>44599.837741458199</v>
      </c>
    </row>
    <row r="29" spans="1:10" x14ac:dyDescent="0.3">
      <c r="A29" s="1" t="s">
        <v>34</v>
      </c>
      <c r="B29" s="1" t="s">
        <v>96</v>
      </c>
      <c r="C29" s="1" t="s">
        <v>216</v>
      </c>
      <c r="D29" s="1" t="s">
        <v>6</v>
      </c>
      <c r="E29" s="1">
        <v>4597</v>
      </c>
      <c r="F29" s="1">
        <v>101</v>
      </c>
      <c r="G29" s="1">
        <v>25818</v>
      </c>
      <c r="H29" s="1">
        <v>0.17805407080331551</v>
      </c>
      <c r="I29" s="1">
        <v>2.1970850554709594E-2</v>
      </c>
      <c r="J29" s="2">
        <v>44599.837741469899</v>
      </c>
    </row>
    <row r="30" spans="1:10" x14ac:dyDescent="0.3">
      <c r="A30" s="1" t="s">
        <v>35</v>
      </c>
      <c r="B30" s="1" t="s">
        <v>96</v>
      </c>
      <c r="C30" s="1" t="s">
        <v>217</v>
      </c>
      <c r="D30" s="1" t="s">
        <v>6</v>
      </c>
      <c r="E30" s="1">
        <v>2648</v>
      </c>
      <c r="F30" s="1">
        <v>36</v>
      </c>
      <c r="G30" s="1">
        <v>10552</v>
      </c>
      <c r="H30" s="1">
        <v>0.25094768764215314</v>
      </c>
      <c r="I30" s="1">
        <v>1.3595166163141994E-2</v>
      </c>
      <c r="J30" s="2">
        <v>44599.837741469899</v>
      </c>
    </row>
    <row r="31" spans="1:10" x14ac:dyDescent="0.3">
      <c r="A31" s="1" t="s">
        <v>36</v>
      </c>
      <c r="B31" s="1" t="s">
        <v>96</v>
      </c>
      <c r="C31" s="1" t="s">
        <v>218</v>
      </c>
      <c r="D31" s="1" t="s">
        <v>6</v>
      </c>
      <c r="E31" s="1">
        <v>12897</v>
      </c>
      <c r="F31" s="1">
        <v>180</v>
      </c>
      <c r="G31" s="1">
        <v>94762</v>
      </c>
      <c r="H31" s="1">
        <v>0.13609885819210232</v>
      </c>
      <c r="I31" s="1">
        <v>1.3956734124214934E-2</v>
      </c>
      <c r="J31" s="2">
        <v>44599.837741469899</v>
      </c>
    </row>
    <row r="32" spans="1:10" x14ac:dyDescent="0.3">
      <c r="A32" s="1" t="s">
        <v>37</v>
      </c>
      <c r="B32" s="1" t="s">
        <v>96</v>
      </c>
      <c r="C32" s="1" t="s">
        <v>219</v>
      </c>
      <c r="D32" s="1" t="s">
        <v>6</v>
      </c>
      <c r="E32" s="1">
        <v>7087</v>
      </c>
      <c r="F32" s="1">
        <v>163</v>
      </c>
      <c r="G32" s="1">
        <v>41038</v>
      </c>
      <c r="H32" s="1">
        <v>0.17269360105268289</v>
      </c>
      <c r="I32" s="1">
        <v>2.2999858896571187E-2</v>
      </c>
      <c r="J32" s="2">
        <v>44599.8377414813</v>
      </c>
    </row>
    <row r="33" spans="1:10" x14ac:dyDescent="0.3">
      <c r="A33" s="1" t="s">
        <v>38</v>
      </c>
      <c r="B33" s="1" t="s">
        <v>96</v>
      </c>
      <c r="C33" s="1" t="s">
        <v>220</v>
      </c>
      <c r="D33" s="1" t="s">
        <v>6</v>
      </c>
      <c r="E33" s="1">
        <v>8940</v>
      </c>
      <c r="F33" s="1">
        <v>176</v>
      </c>
      <c r="G33" s="1">
        <v>45314</v>
      </c>
      <c r="H33" s="1">
        <v>0.19729002074414087</v>
      </c>
      <c r="I33" s="1">
        <v>1.9686800894854587E-2</v>
      </c>
      <c r="J33" s="2">
        <v>44599.8377414813</v>
      </c>
    </row>
    <row r="34" spans="1:10" x14ac:dyDescent="0.3">
      <c r="A34" s="1" t="s">
        <v>39</v>
      </c>
      <c r="B34" s="1" t="s">
        <v>96</v>
      </c>
      <c r="C34" s="1" t="s">
        <v>221</v>
      </c>
      <c r="D34" s="1" t="s">
        <v>6</v>
      </c>
      <c r="E34" s="1">
        <v>6487</v>
      </c>
      <c r="F34" s="1">
        <v>73</v>
      </c>
      <c r="G34" s="1">
        <v>34907</v>
      </c>
      <c r="H34" s="1">
        <v>0.18583665167444924</v>
      </c>
      <c r="I34" s="1">
        <v>1.1253275782333899E-2</v>
      </c>
      <c r="J34" s="2">
        <v>44599.8377414813</v>
      </c>
    </row>
    <row r="35" spans="1:10" x14ac:dyDescent="0.3">
      <c r="A35" s="1" t="s">
        <v>40</v>
      </c>
      <c r="B35" s="1" t="s">
        <v>96</v>
      </c>
      <c r="C35" s="1" t="s">
        <v>222</v>
      </c>
      <c r="D35" s="1" t="s">
        <v>6</v>
      </c>
      <c r="E35" s="1">
        <v>6000</v>
      </c>
      <c r="F35" s="1">
        <v>119</v>
      </c>
      <c r="G35" s="1">
        <v>30291</v>
      </c>
      <c r="H35" s="1">
        <v>0.19807863721897592</v>
      </c>
      <c r="I35" s="1">
        <v>1.9833333333333335E-2</v>
      </c>
      <c r="J35" s="2">
        <v>44599.8377414813</v>
      </c>
    </row>
    <row r="36" spans="1:10" x14ac:dyDescent="0.3">
      <c r="A36" s="1" t="s">
        <v>41</v>
      </c>
      <c r="B36" s="1" t="s">
        <v>96</v>
      </c>
      <c r="C36" s="1" t="s">
        <v>223</v>
      </c>
      <c r="D36" s="1" t="s">
        <v>6</v>
      </c>
      <c r="E36" s="1">
        <v>51368</v>
      </c>
      <c r="F36" s="1">
        <v>654</v>
      </c>
      <c r="G36" s="1">
        <v>294788</v>
      </c>
      <c r="H36" s="1">
        <v>0.17425404019159532</v>
      </c>
      <c r="I36" s="1">
        <v>1.2731661734932254E-2</v>
      </c>
      <c r="J36" s="2">
        <v>44599.837741504503</v>
      </c>
    </row>
    <row r="37" spans="1:10" x14ac:dyDescent="0.3">
      <c r="A37" s="1" t="s">
        <v>42</v>
      </c>
      <c r="B37" s="1" t="s">
        <v>96</v>
      </c>
      <c r="C37" s="1" t="s">
        <v>224</v>
      </c>
      <c r="D37" s="1" t="s">
        <v>6</v>
      </c>
      <c r="E37" s="1">
        <v>15118</v>
      </c>
      <c r="F37" s="1">
        <v>161</v>
      </c>
      <c r="G37" s="1">
        <v>65960</v>
      </c>
      <c r="H37" s="1">
        <v>0.22919951485748938</v>
      </c>
      <c r="I37" s="1">
        <v>1.0649556819685144E-2</v>
      </c>
      <c r="J37" s="2">
        <v>44599.837741504503</v>
      </c>
    </row>
    <row r="38" spans="1:10" x14ac:dyDescent="0.3">
      <c r="A38" s="1" t="s">
        <v>43</v>
      </c>
      <c r="B38" s="1" t="s">
        <v>96</v>
      </c>
      <c r="C38" s="1" t="s">
        <v>225</v>
      </c>
      <c r="D38" s="1" t="s">
        <v>6</v>
      </c>
      <c r="E38" s="1">
        <v>4026</v>
      </c>
      <c r="F38" s="1">
        <v>119</v>
      </c>
      <c r="G38" s="1">
        <v>25199</v>
      </c>
      <c r="H38" s="1">
        <v>0.15976824477161791</v>
      </c>
      <c r="I38" s="1">
        <v>2.9557873820168903E-2</v>
      </c>
      <c r="J38" s="2">
        <v>44599.837741504503</v>
      </c>
    </row>
    <row r="39" spans="1:10" x14ac:dyDescent="0.3">
      <c r="A39" s="1" t="s">
        <v>44</v>
      </c>
      <c r="B39" s="1" t="s">
        <v>96</v>
      </c>
      <c r="C39" s="1" t="s">
        <v>226</v>
      </c>
      <c r="D39" s="1" t="s">
        <v>6</v>
      </c>
      <c r="E39" s="1">
        <v>2230</v>
      </c>
      <c r="F39" s="1">
        <v>66</v>
      </c>
      <c r="G39" s="1">
        <v>10952</v>
      </c>
      <c r="H39" s="1">
        <v>0.20361577794010227</v>
      </c>
      <c r="I39" s="1">
        <v>2.9596412556053813E-2</v>
      </c>
      <c r="J39" s="2">
        <v>44599.837741504503</v>
      </c>
    </row>
    <row r="40" spans="1:10" x14ac:dyDescent="0.3">
      <c r="A40" s="1" t="s">
        <v>45</v>
      </c>
      <c r="B40" s="1" t="s">
        <v>96</v>
      </c>
      <c r="C40" s="1" t="s">
        <v>227</v>
      </c>
      <c r="D40" s="1" t="s">
        <v>6</v>
      </c>
      <c r="E40" s="1">
        <v>12747</v>
      </c>
      <c r="F40" s="1">
        <v>170</v>
      </c>
      <c r="G40" s="1">
        <v>68099</v>
      </c>
      <c r="H40" s="1">
        <v>0.18718336539449917</v>
      </c>
      <c r="I40" s="1">
        <v>1.3336471326586647E-2</v>
      </c>
      <c r="J40" s="2">
        <v>44599.837741515898</v>
      </c>
    </row>
    <row r="41" spans="1:10" x14ac:dyDescent="0.3">
      <c r="A41" s="1" t="s">
        <v>46</v>
      </c>
      <c r="B41" s="1" t="s">
        <v>96</v>
      </c>
      <c r="C41" s="1" t="s">
        <v>228</v>
      </c>
      <c r="D41" s="1" t="s">
        <v>6</v>
      </c>
      <c r="E41" s="1">
        <v>33408</v>
      </c>
      <c r="F41" s="1">
        <v>476</v>
      </c>
      <c r="G41" s="1">
        <v>158342</v>
      </c>
      <c r="H41" s="1">
        <v>0.21098634601053415</v>
      </c>
      <c r="I41" s="1">
        <v>1.424808429118774E-2</v>
      </c>
      <c r="J41" s="2">
        <v>44599.837741527597</v>
      </c>
    </row>
    <row r="42" spans="1:10" x14ac:dyDescent="0.3">
      <c r="A42" s="1" t="s">
        <v>47</v>
      </c>
      <c r="B42" s="1" t="s">
        <v>96</v>
      </c>
      <c r="C42" s="1" t="s">
        <v>229</v>
      </c>
      <c r="D42" s="1" t="s">
        <v>6</v>
      </c>
      <c r="E42" s="1">
        <v>50787</v>
      </c>
      <c r="F42" s="1">
        <v>558</v>
      </c>
      <c r="G42" s="1">
        <v>266224</v>
      </c>
      <c r="H42" s="1">
        <v>0.19076792475509347</v>
      </c>
      <c r="I42" s="1">
        <v>1.0987063618642566E-2</v>
      </c>
      <c r="J42" s="2">
        <v>44599.837741538999</v>
      </c>
    </row>
    <row r="43" spans="1:10" x14ac:dyDescent="0.3">
      <c r="A43" s="1" t="s">
        <v>48</v>
      </c>
      <c r="B43" s="1" t="s">
        <v>96</v>
      </c>
      <c r="C43" s="1" t="s">
        <v>230</v>
      </c>
      <c r="D43" s="1" t="s">
        <v>6</v>
      </c>
      <c r="E43" s="1">
        <v>2885</v>
      </c>
      <c r="F43" s="1">
        <v>49</v>
      </c>
      <c r="G43" s="1">
        <v>18734</v>
      </c>
      <c r="H43" s="1">
        <v>0.15399807836020071</v>
      </c>
      <c r="I43" s="1">
        <v>1.6984402079722703E-2</v>
      </c>
      <c r="J43" s="2">
        <v>44599.837741538999</v>
      </c>
    </row>
    <row r="44" spans="1:10" x14ac:dyDescent="0.3">
      <c r="A44" s="1" t="s">
        <v>49</v>
      </c>
      <c r="B44" s="1" t="s">
        <v>96</v>
      </c>
      <c r="C44" s="1" t="s">
        <v>231</v>
      </c>
      <c r="D44" s="1" t="s">
        <v>6</v>
      </c>
      <c r="E44" s="1">
        <v>149092</v>
      </c>
      <c r="F44" s="1">
        <v>1253</v>
      </c>
      <c r="G44" s="1">
        <v>667770</v>
      </c>
      <c r="H44" s="1">
        <v>0.2232684906479776</v>
      </c>
      <c r="I44" s="1">
        <v>8.40420679848684E-3</v>
      </c>
      <c r="J44" s="2">
        <v>44599.837741573698</v>
      </c>
    </row>
    <row r="45" spans="1:10" x14ac:dyDescent="0.3">
      <c r="A45" s="1" t="s">
        <v>50</v>
      </c>
      <c r="B45" s="1" t="s">
        <v>96</v>
      </c>
      <c r="C45" s="1" t="s">
        <v>232</v>
      </c>
      <c r="D45" s="1" t="s">
        <v>6</v>
      </c>
      <c r="E45" s="1">
        <v>442</v>
      </c>
      <c r="F45" s="1">
        <v>11</v>
      </c>
      <c r="G45" s="1">
        <v>2194</v>
      </c>
      <c r="H45" s="1">
        <v>0.20145852324521421</v>
      </c>
      <c r="I45" s="1">
        <v>2.4886877828054297E-2</v>
      </c>
      <c r="J45" s="2">
        <v>44599.837741573698</v>
      </c>
    </row>
    <row r="46" spans="1:10" x14ac:dyDescent="0.3">
      <c r="A46" s="1" t="s">
        <v>51</v>
      </c>
      <c r="B46" s="1" t="s">
        <v>96</v>
      </c>
      <c r="C46" s="1" t="s">
        <v>233</v>
      </c>
      <c r="D46" s="1" t="s">
        <v>6</v>
      </c>
      <c r="E46" s="1">
        <v>1469</v>
      </c>
      <c r="F46" s="1">
        <v>30</v>
      </c>
      <c r="G46" s="1">
        <v>11784</v>
      </c>
      <c r="H46" s="1">
        <v>0.12466055668703327</v>
      </c>
      <c r="I46" s="1">
        <v>2.042205582028591E-2</v>
      </c>
      <c r="J46" s="2">
        <v>44599.837741573698</v>
      </c>
    </row>
    <row r="47" spans="1:10" x14ac:dyDescent="0.3">
      <c r="A47" s="1" t="s">
        <v>52</v>
      </c>
      <c r="B47" s="1" t="s">
        <v>96</v>
      </c>
      <c r="C47" s="1" t="s">
        <v>234</v>
      </c>
      <c r="D47" s="1" t="s">
        <v>6</v>
      </c>
      <c r="E47" s="1">
        <v>16480</v>
      </c>
      <c r="F47" s="1">
        <v>365</v>
      </c>
      <c r="G47" s="1">
        <v>86665</v>
      </c>
      <c r="H47" s="1">
        <v>0.19015750302890441</v>
      </c>
      <c r="I47" s="1">
        <v>2.2148058252427185E-2</v>
      </c>
      <c r="J47" s="2">
        <v>44599.837741585303</v>
      </c>
    </row>
    <row r="48" spans="1:10" x14ac:dyDescent="0.3">
      <c r="A48" s="1" t="s">
        <v>53</v>
      </c>
      <c r="B48" s="1" t="s">
        <v>96</v>
      </c>
      <c r="C48" s="1" t="s">
        <v>235</v>
      </c>
      <c r="D48" s="1" t="s">
        <v>6</v>
      </c>
      <c r="E48" s="1">
        <v>2405</v>
      </c>
      <c r="F48" s="1">
        <v>42</v>
      </c>
      <c r="G48" s="1">
        <v>21902</v>
      </c>
      <c r="H48" s="1">
        <v>0.10980732353209753</v>
      </c>
      <c r="I48" s="1">
        <v>1.7463617463617465E-2</v>
      </c>
      <c r="J48" s="2">
        <v>44599.837741585303</v>
      </c>
    </row>
    <row r="49" spans="1:10" x14ac:dyDescent="0.3">
      <c r="A49" s="1" t="s">
        <v>54</v>
      </c>
      <c r="B49" s="1" t="s">
        <v>96</v>
      </c>
      <c r="C49" s="1" t="s">
        <v>236</v>
      </c>
      <c r="D49" s="1" t="s">
        <v>6</v>
      </c>
      <c r="E49" s="1">
        <v>19436</v>
      </c>
      <c r="F49" s="1">
        <v>275</v>
      </c>
      <c r="G49" s="1">
        <v>99381</v>
      </c>
      <c r="H49" s="1">
        <v>0.19557058190197321</v>
      </c>
      <c r="I49" s="1">
        <v>1.414900185223297E-2</v>
      </c>
      <c r="J49" s="2">
        <v>44599.837741596799</v>
      </c>
    </row>
    <row r="50" spans="1:10" x14ac:dyDescent="0.3">
      <c r="A50" s="1" t="s">
        <v>55</v>
      </c>
      <c r="B50" s="1" t="s">
        <v>96</v>
      </c>
      <c r="C50" s="1" t="s">
        <v>237</v>
      </c>
      <c r="D50" s="1" t="s">
        <v>6</v>
      </c>
      <c r="E50" s="1">
        <v>37270</v>
      </c>
      <c r="F50" s="1">
        <v>389</v>
      </c>
      <c r="G50" s="1">
        <v>194410</v>
      </c>
      <c r="H50" s="1">
        <v>0.19170824546062445</v>
      </c>
      <c r="I50" s="1">
        <v>1.0437349074322512E-2</v>
      </c>
      <c r="J50" s="2">
        <v>44599.837741608098</v>
      </c>
    </row>
    <row r="51" spans="1:10" x14ac:dyDescent="0.3">
      <c r="A51" s="1" t="s">
        <v>56</v>
      </c>
      <c r="B51" s="1" t="s">
        <v>96</v>
      </c>
      <c r="C51" s="1" t="s">
        <v>238</v>
      </c>
      <c r="D51" s="1" t="s">
        <v>6</v>
      </c>
      <c r="E51" s="1">
        <v>630</v>
      </c>
      <c r="F51" s="1">
        <v>7</v>
      </c>
      <c r="G51" s="1">
        <v>5935</v>
      </c>
      <c r="H51" s="1">
        <v>0.10614995787700084</v>
      </c>
      <c r="I51" s="1">
        <v>1.1111111111111112E-2</v>
      </c>
      <c r="J51" s="2">
        <v>44599.837741608098</v>
      </c>
    </row>
    <row r="52" spans="1:10" x14ac:dyDescent="0.3">
      <c r="A52" s="1" t="s">
        <v>57</v>
      </c>
      <c r="B52" s="1" t="s">
        <v>96</v>
      </c>
      <c r="C52" s="1" t="s">
        <v>239</v>
      </c>
      <c r="D52" s="1" t="s">
        <v>6</v>
      </c>
      <c r="E52" s="1">
        <v>26709</v>
      </c>
      <c r="F52" s="1">
        <v>166</v>
      </c>
      <c r="G52" s="1" t="s">
        <v>210</v>
      </c>
      <c r="H52" s="1" t="s">
        <v>210</v>
      </c>
      <c r="I52" s="1">
        <v>6.215133475607473E-3</v>
      </c>
      <c r="J52" s="2">
        <v>44599.8377416195</v>
      </c>
    </row>
    <row r="53" spans="1:10" x14ac:dyDescent="0.3">
      <c r="A53" s="1" t="s">
        <v>58</v>
      </c>
      <c r="B53" s="1" t="s">
        <v>96</v>
      </c>
      <c r="C53" s="1" t="s">
        <v>240</v>
      </c>
      <c r="D53" s="1" t="s">
        <v>6</v>
      </c>
      <c r="E53" s="1">
        <v>1466</v>
      </c>
      <c r="F53" s="1">
        <v>26</v>
      </c>
      <c r="G53" s="1">
        <v>10853</v>
      </c>
      <c r="H53" s="1">
        <v>0.13507785865659264</v>
      </c>
      <c r="I53" s="1">
        <v>1.7735334242837655E-2</v>
      </c>
      <c r="J53" s="2">
        <v>44599.8377416195</v>
      </c>
    </row>
    <row r="54" spans="1:10" x14ac:dyDescent="0.3">
      <c r="A54" s="1" t="s">
        <v>59</v>
      </c>
      <c r="B54" s="1" t="s">
        <v>96</v>
      </c>
      <c r="C54" s="1" t="s">
        <v>241</v>
      </c>
      <c r="D54" s="1" t="s">
        <v>6</v>
      </c>
      <c r="E54" s="1">
        <v>202147</v>
      </c>
      <c r="F54" s="1">
        <v>3408</v>
      </c>
      <c r="G54" s="1">
        <v>877503</v>
      </c>
      <c r="H54" s="1">
        <v>0.23036616399032253</v>
      </c>
      <c r="I54" s="1">
        <v>1.6859018437077967E-2</v>
      </c>
      <c r="J54" s="2">
        <v>44599.837741665702</v>
      </c>
    </row>
    <row r="55" spans="1:10" x14ac:dyDescent="0.3">
      <c r="A55" s="1" t="s">
        <v>60</v>
      </c>
      <c r="B55" s="1" t="s">
        <v>96</v>
      </c>
      <c r="C55" s="1" t="s">
        <v>242</v>
      </c>
      <c r="D55" s="1" t="s">
        <v>6</v>
      </c>
      <c r="E55" s="1">
        <v>2650</v>
      </c>
      <c r="F55" s="1">
        <v>65</v>
      </c>
      <c r="G55" s="1">
        <v>24867</v>
      </c>
      <c r="H55" s="1">
        <v>0.10656693610005227</v>
      </c>
      <c r="I55" s="1">
        <v>2.4528301886792454E-2</v>
      </c>
      <c r="J55" s="2">
        <v>44599.837741665702</v>
      </c>
    </row>
    <row r="56" spans="1:10" x14ac:dyDescent="0.3">
      <c r="A56" s="1" t="s">
        <v>61</v>
      </c>
      <c r="B56" s="1" t="s">
        <v>96</v>
      </c>
      <c r="C56" s="1" t="s">
        <v>243</v>
      </c>
      <c r="D56" s="1" t="s">
        <v>6</v>
      </c>
      <c r="E56" s="1">
        <v>11418</v>
      </c>
      <c r="F56" s="1">
        <v>104</v>
      </c>
      <c r="G56" s="1">
        <v>67653</v>
      </c>
      <c r="H56" s="1">
        <v>0.16877300341448273</v>
      </c>
      <c r="I56" s="1">
        <v>9.1084252933963921E-3</v>
      </c>
      <c r="J56" s="2">
        <v>44599.837741677198</v>
      </c>
    </row>
    <row r="57" spans="1:10" x14ac:dyDescent="0.3">
      <c r="A57" s="1" t="s">
        <v>62</v>
      </c>
      <c r="B57" s="1" t="s">
        <v>96</v>
      </c>
      <c r="C57" s="1" t="s">
        <v>244</v>
      </c>
      <c r="D57" s="1" t="s">
        <v>6</v>
      </c>
      <c r="E57" s="1">
        <v>5804</v>
      </c>
      <c r="F57" s="1">
        <v>79</v>
      </c>
      <c r="G57" s="1">
        <v>29324</v>
      </c>
      <c r="H57" s="1">
        <v>0.19792661301323147</v>
      </c>
      <c r="I57" s="1">
        <v>1.3611302549965541E-2</v>
      </c>
      <c r="J57" s="2">
        <v>44599.837741677198</v>
      </c>
    </row>
    <row r="58" spans="1:10" x14ac:dyDescent="0.3">
      <c r="A58" s="1" t="s">
        <v>63</v>
      </c>
      <c r="B58" s="1" t="s">
        <v>96</v>
      </c>
      <c r="C58" s="1" t="s">
        <v>245</v>
      </c>
      <c r="D58" s="1" t="s">
        <v>6</v>
      </c>
      <c r="E58" s="1">
        <v>7599</v>
      </c>
      <c r="F58" s="1">
        <v>87</v>
      </c>
      <c r="G58" s="1">
        <v>43612</v>
      </c>
      <c r="H58" s="1">
        <v>0.17424103457763918</v>
      </c>
      <c r="I58" s="1">
        <v>1.1448874851954205E-2</v>
      </c>
      <c r="J58" s="2">
        <v>44599.837741677198</v>
      </c>
    </row>
    <row r="59" spans="1:10" x14ac:dyDescent="0.3">
      <c r="A59" s="1" t="s">
        <v>64</v>
      </c>
      <c r="B59" s="1" t="s">
        <v>96</v>
      </c>
      <c r="C59" s="1" t="s">
        <v>246</v>
      </c>
      <c r="D59" s="1" t="s">
        <v>6</v>
      </c>
      <c r="E59" s="1">
        <v>3735</v>
      </c>
      <c r="F59" s="1">
        <v>59</v>
      </c>
      <c r="G59" s="1">
        <v>22339</v>
      </c>
      <c r="H59" s="1">
        <v>0.16719638300729667</v>
      </c>
      <c r="I59" s="1">
        <v>1.5796519410977244E-2</v>
      </c>
      <c r="J59" s="2">
        <v>44599.837741677198</v>
      </c>
    </row>
    <row r="60" spans="1:10" x14ac:dyDescent="0.3">
      <c r="A60" s="1" t="s">
        <v>65</v>
      </c>
      <c r="B60" s="1" t="s">
        <v>96</v>
      </c>
      <c r="C60" s="1" t="s">
        <v>247</v>
      </c>
      <c r="D60" s="1" t="s">
        <v>6</v>
      </c>
      <c r="E60" s="1">
        <v>16765</v>
      </c>
      <c r="F60" s="1">
        <v>193</v>
      </c>
      <c r="G60" s="1">
        <v>82955</v>
      </c>
      <c r="H60" s="1">
        <v>0.20209752275329998</v>
      </c>
      <c r="I60" s="1">
        <v>1.1512078735460781E-2</v>
      </c>
      <c r="J60" s="2">
        <v>44599.837741688803</v>
      </c>
    </row>
    <row r="61" spans="1:10" x14ac:dyDescent="0.3">
      <c r="A61" s="1" t="s">
        <v>66</v>
      </c>
      <c r="B61" s="1" t="s">
        <v>96</v>
      </c>
      <c r="C61" s="1" t="s">
        <v>248</v>
      </c>
      <c r="D61" s="1" t="s">
        <v>6</v>
      </c>
      <c r="E61" s="1">
        <v>2147</v>
      </c>
      <c r="F61" s="1">
        <v>42</v>
      </c>
      <c r="G61" s="1">
        <v>15169</v>
      </c>
      <c r="H61" s="1">
        <v>0.14153866438130397</v>
      </c>
      <c r="I61" s="1">
        <v>1.9562179785747556E-2</v>
      </c>
      <c r="J61" s="2">
        <v>44599.837741688803</v>
      </c>
    </row>
    <row r="62" spans="1:10" x14ac:dyDescent="0.3">
      <c r="A62" s="1" t="s">
        <v>67</v>
      </c>
      <c r="B62" s="1" t="s">
        <v>96</v>
      </c>
      <c r="C62" s="1" t="s">
        <v>249</v>
      </c>
      <c r="D62" s="1" t="s">
        <v>6</v>
      </c>
      <c r="E62" s="1">
        <v>31061</v>
      </c>
      <c r="F62" s="1">
        <v>390</v>
      </c>
      <c r="G62" s="1">
        <v>151478</v>
      </c>
      <c r="H62" s="1">
        <v>0.20505287896592245</v>
      </c>
      <c r="I62" s="1">
        <v>1.2555938314928688E-2</v>
      </c>
      <c r="J62" s="2">
        <v>44599.837741688803</v>
      </c>
    </row>
    <row r="63" spans="1:10" x14ac:dyDescent="0.3">
      <c r="A63" s="1" t="s">
        <v>68</v>
      </c>
      <c r="B63" s="1" t="s">
        <v>96</v>
      </c>
      <c r="C63" s="1" t="s">
        <v>250</v>
      </c>
      <c r="D63" s="1" t="s">
        <v>6</v>
      </c>
      <c r="E63" s="1">
        <v>12808</v>
      </c>
      <c r="F63" s="1">
        <v>188</v>
      </c>
      <c r="G63" s="1">
        <v>63744</v>
      </c>
      <c r="H63" s="1">
        <v>0.20092871485943775</v>
      </c>
      <c r="I63" s="1">
        <v>1.4678326046221112E-2</v>
      </c>
      <c r="J63" s="2">
        <v>44599.8377417007</v>
      </c>
    </row>
    <row r="64" spans="1:10" x14ac:dyDescent="0.3">
      <c r="A64" s="1" t="s">
        <v>69</v>
      </c>
      <c r="B64" s="1" t="s">
        <v>96</v>
      </c>
      <c r="C64" s="1" t="s">
        <v>251</v>
      </c>
      <c r="D64" s="1" t="s">
        <v>6</v>
      </c>
      <c r="E64" s="1">
        <v>1220</v>
      </c>
      <c r="F64" s="1">
        <v>43</v>
      </c>
      <c r="G64" s="1">
        <v>9487</v>
      </c>
      <c r="H64" s="1">
        <v>0.12859702751133129</v>
      </c>
      <c r="I64" s="1">
        <v>3.5245901639344261E-2</v>
      </c>
      <c r="J64" s="2">
        <v>44599.8377417007</v>
      </c>
    </row>
    <row r="65" spans="1:10" x14ac:dyDescent="0.3">
      <c r="A65" s="1" t="s">
        <v>70</v>
      </c>
      <c r="B65" s="1" t="s">
        <v>96</v>
      </c>
      <c r="C65" s="1" t="s">
        <v>252</v>
      </c>
      <c r="D65" s="1" t="s">
        <v>6</v>
      </c>
      <c r="E65" s="1">
        <v>36022</v>
      </c>
      <c r="F65" s="1">
        <v>551</v>
      </c>
      <c r="G65" s="1">
        <v>173467</v>
      </c>
      <c r="H65" s="1">
        <v>0.20765909366046567</v>
      </c>
      <c r="I65" s="1">
        <v>1.5296207872966521E-2</v>
      </c>
      <c r="J65" s="2">
        <v>44599.837741711897</v>
      </c>
    </row>
    <row r="66" spans="1:10" x14ac:dyDescent="0.3">
      <c r="A66" s="1" t="s">
        <v>71</v>
      </c>
      <c r="B66" s="1" t="s">
        <v>96</v>
      </c>
      <c r="C66" s="1" t="s">
        <v>253</v>
      </c>
      <c r="D66" s="1" t="s">
        <v>6</v>
      </c>
      <c r="E66" s="1">
        <v>10143</v>
      </c>
      <c r="F66" s="1">
        <v>141</v>
      </c>
      <c r="G66" s="1">
        <v>49403</v>
      </c>
      <c r="H66" s="1">
        <v>0.20531141833491892</v>
      </c>
      <c r="I66" s="1">
        <v>1.3901212658976633E-2</v>
      </c>
      <c r="J66" s="2">
        <v>44599.837741711897</v>
      </c>
    </row>
    <row r="67" spans="1:10" x14ac:dyDescent="0.3">
      <c r="A67" s="1" t="s">
        <v>72</v>
      </c>
      <c r="B67" s="1" t="s">
        <v>96</v>
      </c>
      <c r="C67" s="1" t="s">
        <v>254</v>
      </c>
      <c r="D67" s="1" t="s">
        <v>6</v>
      </c>
      <c r="E67" s="1">
        <v>245239</v>
      </c>
      <c r="F67" s="1">
        <v>3245</v>
      </c>
      <c r="G67" s="1">
        <v>1260254</v>
      </c>
      <c r="H67" s="1">
        <v>0.19459489912351002</v>
      </c>
      <c r="I67" s="1">
        <v>1.3231990017900905E-2</v>
      </c>
      <c r="J67" s="2">
        <v>44599.837741758398</v>
      </c>
    </row>
    <row r="68" spans="1:10" x14ac:dyDescent="0.3">
      <c r="A68" s="1" t="s">
        <v>73</v>
      </c>
      <c r="B68" s="1" t="s">
        <v>96</v>
      </c>
      <c r="C68" s="1" t="s">
        <v>255</v>
      </c>
      <c r="D68" s="1" t="s">
        <v>6</v>
      </c>
      <c r="E68" s="1">
        <v>5595</v>
      </c>
      <c r="F68" s="1">
        <v>80</v>
      </c>
      <c r="G68" s="1">
        <v>26203</v>
      </c>
      <c r="H68" s="1">
        <v>0.21352516887379308</v>
      </c>
      <c r="I68" s="1">
        <v>1.4298480786416443E-2</v>
      </c>
      <c r="J68" s="2">
        <v>44599.837741769603</v>
      </c>
    </row>
    <row r="69" spans="1:10" x14ac:dyDescent="0.3">
      <c r="A69" s="1" t="s">
        <v>74</v>
      </c>
      <c r="B69" s="1" t="s">
        <v>96</v>
      </c>
      <c r="C69" s="1" t="s">
        <v>256</v>
      </c>
      <c r="D69" s="1" t="s">
        <v>6</v>
      </c>
      <c r="E69" s="1">
        <v>3508</v>
      </c>
      <c r="F69" s="1">
        <v>80</v>
      </c>
      <c r="G69" s="1">
        <v>21342</v>
      </c>
      <c r="H69" s="1">
        <v>0.16437072439321526</v>
      </c>
      <c r="I69" s="1">
        <v>2.2805017103762829E-2</v>
      </c>
      <c r="J69" s="2">
        <v>44599.837741769603</v>
      </c>
    </row>
    <row r="70" spans="1:10" x14ac:dyDescent="0.3">
      <c r="A70" s="1" t="s">
        <v>75</v>
      </c>
      <c r="B70" s="1" t="s">
        <v>96</v>
      </c>
      <c r="C70" s="1" t="s">
        <v>257</v>
      </c>
      <c r="D70" s="1" t="s">
        <v>6</v>
      </c>
      <c r="E70" s="1">
        <v>838</v>
      </c>
      <c r="F70" s="1">
        <v>32</v>
      </c>
      <c r="G70" s="1">
        <v>5477</v>
      </c>
      <c r="H70" s="1">
        <v>0.15300346905240095</v>
      </c>
      <c r="I70" s="1">
        <v>3.8186157517899763E-2</v>
      </c>
      <c r="J70" s="2">
        <v>44599.837741769603</v>
      </c>
    </row>
    <row r="71" spans="1:10" x14ac:dyDescent="0.3">
      <c r="A71" s="1" t="s">
        <v>76</v>
      </c>
      <c r="B71" s="1" t="s">
        <v>96</v>
      </c>
      <c r="C71" s="1" t="s">
        <v>258</v>
      </c>
      <c r="D71" s="1" t="s">
        <v>6</v>
      </c>
      <c r="E71" s="1">
        <v>4076</v>
      </c>
      <c r="F71" s="1">
        <v>69</v>
      </c>
      <c r="G71" s="1">
        <v>23709</v>
      </c>
      <c r="H71" s="1">
        <v>0.17191783710827113</v>
      </c>
      <c r="I71" s="1">
        <v>1.6928361138370953E-2</v>
      </c>
      <c r="J71" s="2">
        <v>44599.837741769603</v>
      </c>
    </row>
    <row r="72" spans="1:10" x14ac:dyDescent="0.3">
      <c r="A72" s="1" t="s">
        <v>77</v>
      </c>
      <c r="B72" s="1" t="s">
        <v>96</v>
      </c>
      <c r="C72" s="1" t="s">
        <v>259</v>
      </c>
      <c r="D72" s="1" t="s">
        <v>6</v>
      </c>
      <c r="E72" s="1">
        <v>1146</v>
      </c>
      <c r="F72" s="1">
        <v>50</v>
      </c>
      <c r="G72" s="1">
        <v>8292</v>
      </c>
      <c r="H72" s="1">
        <v>0.13820549927641099</v>
      </c>
      <c r="I72" s="1">
        <v>4.3630017452006981E-2</v>
      </c>
      <c r="J72" s="2">
        <v>44599.837741769603</v>
      </c>
    </row>
    <row r="73" spans="1:10" x14ac:dyDescent="0.3">
      <c r="A73" s="1" t="s">
        <v>78</v>
      </c>
      <c r="B73" s="1" t="s">
        <v>96</v>
      </c>
      <c r="C73" s="1" t="s">
        <v>260</v>
      </c>
      <c r="D73" s="1" t="s">
        <v>6</v>
      </c>
      <c r="E73" s="1">
        <v>3917</v>
      </c>
      <c r="F73" s="1">
        <v>76</v>
      </c>
      <c r="G73" s="1">
        <v>24749</v>
      </c>
      <c r="H73" s="1">
        <v>0.15826902097054427</v>
      </c>
      <c r="I73" s="1">
        <v>1.9402604033699259E-2</v>
      </c>
      <c r="J73" s="2">
        <v>44599.837741781099</v>
      </c>
    </row>
    <row r="74" spans="1:10" x14ac:dyDescent="0.3">
      <c r="A74" s="1" t="s">
        <v>79</v>
      </c>
      <c r="B74" s="1" t="s">
        <v>96</v>
      </c>
      <c r="C74" s="1" t="s">
        <v>261</v>
      </c>
      <c r="D74" s="1" t="s">
        <v>6</v>
      </c>
      <c r="E74" s="1">
        <v>65256</v>
      </c>
      <c r="F74" s="1">
        <v>628</v>
      </c>
      <c r="G74" s="1">
        <v>297896</v>
      </c>
      <c r="H74" s="1">
        <v>0.21905631495555497</v>
      </c>
      <c r="I74" s="1">
        <v>9.6236361407380164E-3</v>
      </c>
      <c r="J74" s="2">
        <v>44599.837741793002</v>
      </c>
    </row>
    <row r="75" spans="1:10" x14ac:dyDescent="0.3">
      <c r="A75" s="1" t="s">
        <v>80</v>
      </c>
      <c r="B75" s="1" t="s">
        <v>96</v>
      </c>
      <c r="C75" s="1" t="s">
        <v>262</v>
      </c>
      <c r="D75" s="1" t="s">
        <v>6</v>
      </c>
      <c r="E75" s="1">
        <v>5371</v>
      </c>
      <c r="F75" s="1">
        <v>34</v>
      </c>
      <c r="G75" s="1" t="s">
        <v>210</v>
      </c>
      <c r="H75" s="1" t="s">
        <v>210</v>
      </c>
      <c r="I75" s="1">
        <v>6.3302923105566936E-3</v>
      </c>
      <c r="J75" s="2">
        <v>44599.837741793002</v>
      </c>
    </row>
    <row r="76" spans="1:10" x14ac:dyDescent="0.3">
      <c r="A76" s="1" t="s">
        <v>81</v>
      </c>
      <c r="B76" s="1" t="s">
        <v>96</v>
      </c>
      <c r="C76" s="1" t="s">
        <v>263</v>
      </c>
      <c r="D76" s="1" t="s">
        <v>6</v>
      </c>
      <c r="E76" s="1">
        <v>1528</v>
      </c>
      <c r="F76" s="1">
        <v>50</v>
      </c>
      <c r="G76" s="1">
        <v>12274</v>
      </c>
      <c r="H76" s="1">
        <v>0.12449079354733583</v>
      </c>
      <c r="I76" s="1">
        <v>3.2722513089005235E-2</v>
      </c>
      <c r="J76" s="2">
        <v>44599.8377418046</v>
      </c>
    </row>
    <row r="77" spans="1:10" x14ac:dyDescent="0.3">
      <c r="A77" s="1" t="s">
        <v>82</v>
      </c>
      <c r="B77" s="1" t="s">
        <v>96</v>
      </c>
      <c r="C77" s="1" t="s">
        <v>264</v>
      </c>
      <c r="D77" s="1" t="s">
        <v>6</v>
      </c>
      <c r="E77" s="1">
        <v>3382</v>
      </c>
      <c r="F77" s="1">
        <v>98</v>
      </c>
      <c r="G77" s="1">
        <v>24640</v>
      </c>
      <c r="H77" s="1">
        <v>0.13725649350649349</v>
      </c>
      <c r="I77" s="1">
        <v>2.8976936723832052E-2</v>
      </c>
      <c r="J77" s="2">
        <v>44599.8377418046</v>
      </c>
    </row>
    <row r="78" spans="1:10" x14ac:dyDescent="0.3">
      <c r="A78" s="1" t="s">
        <v>83</v>
      </c>
      <c r="B78" s="1" t="s">
        <v>96</v>
      </c>
      <c r="C78" s="1" t="s">
        <v>265</v>
      </c>
      <c r="D78" s="1" t="s">
        <v>6</v>
      </c>
      <c r="E78" s="1">
        <v>43887</v>
      </c>
      <c r="F78" s="1">
        <v>827</v>
      </c>
      <c r="G78" s="1">
        <v>189783</v>
      </c>
      <c r="H78" s="1">
        <v>0.23124832045019839</v>
      </c>
      <c r="I78" s="1">
        <v>1.8843848975778704E-2</v>
      </c>
      <c r="J78" s="2">
        <v>44599.837741816198</v>
      </c>
    </row>
    <row r="79" spans="1:10" x14ac:dyDescent="0.3">
      <c r="A79" s="1" t="s">
        <v>84</v>
      </c>
      <c r="B79" s="1" t="s">
        <v>96</v>
      </c>
      <c r="C79" s="1" t="s">
        <v>266</v>
      </c>
      <c r="D79" s="1" t="s">
        <v>6</v>
      </c>
      <c r="E79" s="1">
        <v>7139</v>
      </c>
      <c r="F79" s="1">
        <v>163</v>
      </c>
      <c r="G79" s="1">
        <v>41104</v>
      </c>
      <c r="H79" s="1">
        <v>0.17368139353834178</v>
      </c>
      <c r="I79" s="1">
        <v>2.283232945790727E-2</v>
      </c>
      <c r="J79" s="2">
        <v>44599.837741816198</v>
      </c>
    </row>
    <row r="80" spans="1:10" x14ac:dyDescent="0.3">
      <c r="A80" s="1" t="s">
        <v>85</v>
      </c>
      <c r="B80" s="1" t="s">
        <v>96</v>
      </c>
      <c r="C80" s="1" t="s">
        <v>267</v>
      </c>
      <c r="D80" s="1" t="s">
        <v>6</v>
      </c>
      <c r="E80" s="1">
        <v>1036</v>
      </c>
      <c r="F80" s="1">
        <v>11</v>
      </c>
      <c r="G80" s="1">
        <v>8244</v>
      </c>
      <c r="H80" s="1">
        <v>0.12566715186802524</v>
      </c>
      <c r="I80" s="1">
        <v>1.0617760617760617E-2</v>
      </c>
      <c r="J80" s="2">
        <v>44599.837741816198</v>
      </c>
    </row>
    <row r="81" spans="1:10" x14ac:dyDescent="0.3">
      <c r="A81" s="1" t="s">
        <v>86</v>
      </c>
      <c r="B81" s="1" t="s">
        <v>96</v>
      </c>
      <c r="C81" s="1" t="s">
        <v>268</v>
      </c>
      <c r="D81" s="1" t="s">
        <v>6</v>
      </c>
      <c r="E81" s="1">
        <v>13826</v>
      </c>
      <c r="F81" s="1">
        <v>194</v>
      </c>
      <c r="G81" s="1">
        <v>68089</v>
      </c>
      <c r="H81" s="1">
        <v>0.20305776263419936</v>
      </c>
      <c r="I81" s="1">
        <v>1.4031534789526979E-2</v>
      </c>
      <c r="J81" s="2">
        <v>44599.837741816198</v>
      </c>
    </row>
    <row r="82" spans="1:10" x14ac:dyDescent="0.3">
      <c r="A82" s="1" t="s">
        <v>87</v>
      </c>
      <c r="B82" s="1" t="s">
        <v>96</v>
      </c>
      <c r="C82" s="1" t="s">
        <v>269</v>
      </c>
      <c r="D82" s="1" t="s">
        <v>6</v>
      </c>
      <c r="E82" s="1">
        <v>33034</v>
      </c>
      <c r="F82" s="1">
        <v>709</v>
      </c>
      <c r="G82" s="1" t="s">
        <v>210</v>
      </c>
      <c r="H82" s="1" t="s">
        <v>210</v>
      </c>
      <c r="I82" s="1">
        <v>2.146273536356481E-2</v>
      </c>
      <c r="J82" s="2">
        <v>44599.837741827701</v>
      </c>
    </row>
    <row r="83" spans="1:10" x14ac:dyDescent="0.3">
      <c r="A83" s="1" t="s">
        <v>88</v>
      </c>
      <c r="B83" s="1" t="s">
        <v>96</v>
      </c>
      <c r="C83" s="1" t="s">
        <v>270</v>
      </c>
      <c r="D83" s="1" t="s">
        <v>6</v>
      </c>
      <c r="E83" s="1">
        <v>11759</v>
      </c>
      <c r="F83" s="1">
        <v>158</v>
      </c>
      <c r="G83" s="1" t="s">
        <v>210</v>
      </c>
      <c r="H83" s="1" t="s">
        <v>210</v>
      </c>
      <c r="I83" s="1">
        <v>1.3436516710604644E-2</v>
      </c>
      <c r="J83" s="2">
        <v>44599.837741839299</v>
      </c>
    </row>
    <row r="84" spans="1:10" x14ac:dyDescent="0.3">
      <c r="A84" s="1" t="s">
        <v>89</v>
      </c>
      <c r="B84" s="1" t="s">
        <v>96</v>
      </c>
      <c r="C84" s="1" t="s">
        <v>271</v>
      </c>
      <c r="D84" s="1" t="s">
        <v>6</v>
      </c>
      <c r="E84" s="1">
        <v>10292</v>
      </c>
      <c r="F84" s="1">
        <v>239</v>
      </c>
      <c r="G84" s="1">
        <v>51081</v>
      </c>
      <c r="H84" s="1">
        <v>0.20148391769934026</v>
      </c>
      <c r="I84" s="1">
        <v>2.322191993781578E-2</v>
      </c>
      <c r="J84" s="2">
        <v>44599.837741839299</v>
      </c>
    </row>
    <row r="85" spans="1:10" x14ac:dyDescent="0.3">
      <c r="A85" s="1" t="s">
        <v>90</v>
      </c>
      <c r="B85" s="1" t="s">
        <v>96</v>
      </c>
      <c r="C85" s="1" t="s">
        <v>272</v>
      </c>
      <c r="D85" s="1" t="s">
        <v>6</v>
      </c>
      <c r="E85" s="1">
        <v>6</v>
      </c>
      <c r="F85" s="1">
        <v>0</v>
      </c>
      <c r="G85" s="1" t="s">
        <v>210</v>
      </c>
      <c r="H85" s="1" t="s">
        <v>210</v>
      </c>
      <c r="I85" s="1">
        <v>0</v>
      </c>
      <c r="J85" s="2">
        <v>44599.837741839299</v>
      </c>
    </row>
    <row r="86" spans="1:10" x14ac:dyDescent="0.3">
      <c r="A86" s="1" t="s">
        <v>91</v>
      </c>
      <c r="B86" s="1" t="s">
        <v>96</v>
      </c>
      <c r="C86" s="1" t="s">
        <v>273</v>
      </c>
      <c r="D86" s="1" t="s">
        <v>6</v>
      </c>
      <c r="E86" s="1">
        <v>15217</v>
      </c>
      <c r="F86" s="1">
        <v>221</v>
      </c>
      <c r="G86" s="1">
        <v>76265</v>
      </c>
      <c r="H86" s="1">
        <v>0.19952796171245002</v>
      </c>
      <c r="I86" s="1">
        <v>1.4523230597358218E-2</v>
      </c>
      <c r="J86" s="2">
        <v>44599.837741850803</v>
      </c>
    </row>
    <row r="87" spans="1:10" x14ac:dyDescent="0.3">
      <c r="A87" s="1" t="s">
        <v>92</v>
      </c>
      <c r="B87" s="1" t="s">
        <v>96</v>
      </c>
      <c r="C87" s="1" t="s">
        <v>274</v>
      </c>
      <c r="D87" s="1" t="s">
        <v>6</v>
      </c>
      <c r="E87" s="1">
        <v>61965</v>
      </c>
      <c r="F87" s="1">
        <v>461</v>
      </c>
      <c r="G87" s="1">
        <v>361955</v>
      </c>
      <c r="H87" s="1">
        <v>0.17119531433465485</v>
      </c>
      <c r="I87" s="1">
        <v>7.439683692407004E-3</v>
      </c>
      <c r="J87" s="2">
        <v>44599.837741862299</v>
      </c>
    </row>
    <row r="88" spans="1:10" x14ac:dyDescent="0.3">
      <c r="A88" s="1" t="s">
        <v>93</v>
      </c>
      <c r="B88" s="1" t="s">
        <v>96</v>
      </c>
      <c r="C88" s="1" t="s">
        <v>275</v>
      </c>
      <c r="D88" s="1" t="s">
        <v>6</v>
      </c>
      <c r="E88" s="1">
        <v>241670</v>
      </c>
      <c r="F88" s="1">
        <v>3718</v>
      </c>
      <c r="G88" s="1">
        <v>1734013</v>
      </c>
      <c r="H88" s="1">
        <v>0.1393703507413151</v>
      </c>
      <c r="I88" s="1">
        <v>1.5384615384615385E-2</v>
      </c>
      <c r="J88" s="2">
        <v>44599.837741919997</v>
      </c>
    </row>
    <row r="89" spans="1:10" x14ac:dyDescent="0.3">
      <c r="A89" s="1" t="s">
        <v>94</v>
      </c>
      <c r="B89" s="1" t="s">
        <v>96</v>
      </c>
      <c r="C89" s="1" t="s">
        <v>276</v>
      </c>
      <c r="D89" s="1" t="s">
        <v>6</v>
      </c>
      <c r="E89" s="1">
        <v>5096</v>
      </c>
      <c r="F89" s="1">
        <v>88</v>
      </c>
      <c r="G89" s="1">
        <v>34186</v>
      </c>
      <c r="H89" s="1">
        <v>0.14906686947873399</v>
      </c>
      <c r="I89" s="1">
        <v>1.726844583987441E-2</v>
      </c>
      <c r="J89" s="2">
        <v>44599.837741919997</v>
      </c>
    </row>
  </sheetData>
  <conditionalFormatting sqref="I1:I1048576">
    <cfRule type="top10" dxfId="0" priority="1" rank="5"/>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BBECA-8F9F-442F-871E-FDB5CCEE6DBE}">
  <sheetPr codeName="Sheet4"/>
  <dimension ref="A1"/>
  <sheetViews>
    <sheetView tabSelected="1" workbookViewId="0">
      <selection activeCell="A37" sqref="A37"/>
    </sheetView>
  </sheetViews>
  <sheetFormatPr defaultRowHeight="14.4" x14ac:dyDescent="0.3"/>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3CC8AF-A87F-4AE8-B837-36A0C4C61C3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Population</vt:lpstr>
      <vt:lpstr>Confirmed Cases</vt:lpstr>
      <vt:lpstr>Answers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KKM</dc:creator>
  <cp:lastModifiedBy>matts</cp:lastModifiedBy>
  <dcterms:created xsi:type="dcterms:W3CDTF">2022-02-08T19:30:09Z</dcterms:created>
  <dcterms:modified xsi:type="dcterms:W3CDTF">2022-03-16T03:11:28Z</dcterms:modified>
</cp:coreProperties>
</file>